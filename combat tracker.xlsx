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d.docs.live.net/2d9d17965d8823e1/dnd - elemental crown/battle tracker/"/>
    </mc:Choice>
  </mc:AlternateContent>
  <xr:revisionPtr revIDLastSave="0" documentId="8_{C7DA83EF-F7E4-4B20-B6B4-08F59E195759}" xr6:coauthVersionLast="47" xr6:coauthVersionMax="47" xr10:uidLastSave="{00000000-0000-0000-0000-000000000000}"/>
  <bookViews>
    <workbookView xWindow="3440" yWindow="1330" windowWidth="32010" windowHeight="15640" activeTab="3" xr2:uid="{FCFE9866-F7FC-4B65-B375-ABAC8980D038}"/>
  </bookViews>
  <sheets>
    <sheet name="Battle List" sheetId="4" r:id="rId1"/>
    <sheet name="Korrum" sheetId="5" r:id="rId2"/>
    <sheet name="Veyrath" sheetId="7" r:id="rId3"/>
    <sheet name="Tracker" sheetId="8" r:id="rId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3" i="8" l="1"/>
  <c r="M13" i="8" s="1"/>
  <c r="M28" i="8"/>
  <c r="M27" i="8"/>
  <c r="M26" i="8"/>
  <c r="B45" i="8"/>
  <c r="B46" i="8" s="1"/>
  <c r="B49" i="8" s="1"/>
  <c r="B44" i="8"/>
  <c r="K36" i="8"/>
  <c r="J36" i="8"/>
  <c r="K34" i="8"/>
  <c r="K35" i="8" s="1"/>
  <c r="J34" i="8"/>
  <c r="J35" i="8" s="1"/>
  <c r="I34" i="8"/>
  <c r="I35" i="8" s="1"/>
  <c r="I36" i="8" s="1"/>
  <c r="H34" i="8"/>
  <c r="G34" i="8"/>
  <c r="G35" i="8" s="1"/>
  <c r="F34" i="8"/>
  <c r="F35" i="8" s="1"/>
  <c r="F36" i="8" s="1"/>
  <c r="E34" i="8"/>
  <c r="E35" i="8" s="1"/>
  <c r="D34" i="8"/>
  <c r="C34" i="8"/>
  <c r="B34" i="8"/>
  <c r="C27" i="8"/>
  <c r="D27" i="8" s="1"/>
  <c r="E27" i="8" s="1"/>
  <c r="C26" i="8"/>
  <c r="D26" i="8" s="1"/>
  <c r="E26" i="8" s="1"/>
  <c r="D25" i="8"/>
  <c r="C25" i="8"/>
  <c r="I14" i="8"/>
  <c r="H14" i="8"/>
  <c r="K14" i="8" s="1"/>
  <c r="G14" i="8"/>
  <c r="I13" i="8"/>
  <c r="G13" i="8"/>
  <c r="M12" i="8"/>
  <c r="M11" i="8"/>
  <c r="M10" i="8"/>
  <c r="M9" i="8"/>
  <c r="H12" i="8"/>
  <c r="H11" i="8"/>
  <c r="H10" i="8"/>
  <c r="H9" i="8"/>
  <c r="M8" i="8"/>
  <c r="H8" i="8"/>
  <c r="G16" i="7"/>
  <c r="G18" i="7" s="1"/>
  <c r="F16" i="7"/>
  <c r="F18" i="7" s="1"/>
  <c r="E16" i="7"/>
  <c r="E18" i="7" s="1"/>
  <c r="D16" i="7"/>
  <c r="D18" i="7" s="1"/>
  <c r="C16" i="7"/>
  <c r="B11" i="7" s="1"/>
  <c r="B16" i="7"/>
  <c r="B18" i="7" s="1"/>
  <c r="G18" i="5"/>
  <c r="F18" i="5"/>
  <c r="E18" i="5"/>
  <c r="D18" i="5"/>
  <c r="C18" i="5"/>
  <c r="G16" i="5"/>
  <c r="F16" i="5"/>
  <c r="E16" i="5"/>
  <c r="D16" i="5"/>
  <c r="C16" i="5"/>
  <c r="B18" i="5"/>
  <c r="B16" i="5"/>
  <c r="B11" i="5"/>
  <c r="G36" i="8" l="1"/>
  <c r="C35" i="8"/>
  <c r="C36" i="8" s="1"/>
  <c r="D35" i="8"/>
  <c r="D36" i="8" s="1"/>
  <c r="H35" i="8"/>
  <c r="H36" i="8" s="1"/>
  <c r="E36" i="8"/>
  <c r="B35" i="8"/>
  <c r="E25" i="8"/>
  <c r="A15" i="8"/>
  <c r="M14" i="8"/>
  <c r="A12" i="8"/>
  <c r="A14" i="8"/>
  <c r="K13" i="8"/>
  <c r="A13" i="8"/>
  <c r="A10" i="8"/>
  <c r="A11" i="8"/>
  <c r="A8" i="8"/>
  <c r="A9" i="8"/>
  <c r="C18" i="7"/>
  <c r="B36" i="8" l="1"/>
  <c r="B38" i="8" s="1"/>
  <c r="D38" i="8" s="1"/>
  <c r="E3" i="8"/>
  <c r="E4" i="8"/>
  <c r="J29" i="8" l="1"/>
  <c r="J27" i="8"/>
  <c r="J28" i="8" s="1"/>
  <c r="F15" i="8"/>
  <c r="K15" i="8"/>
  <c r="H15" i="8"/>
  <c r="I15" i="8"/>
  <c r="M15" i="8" l="1"/>
  <c r="J4" i="8"/>
  <c r="J3" i="8" a="1"/>
  <c r="J3" i="8" s="1"/>
  <c r="M3" i="8" a="1"/>
  <c r="M3"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<sst xmlns="http://schemas.openxmlformats.org/spreadsheetml/2006/main" count="392" uniqueCount="217">
  <si>
    <t>Name</t>
  </si>
  <si>
    <t>Korrum</t>
  </si>
  <si>
    <t>Boulder Hurl</t>
  </si>
  <si>
    <t>Grasping Earth</t>
  </si>
  <si>
    <t>Modifier</t>
  </si>
  <si>
    <t>Rex</t>
  </si>
  <si>
    <t>Prag</t>
  </si>
  <si>
    <t>Roquist</t>
  </si>
  <si>
    <t>Giggles</t>
  </si>
  <si>
    <t>Veyrath</t>
  </si>
  <si>
    <t>PC</t>
  </si>
  <si>
    <t>Shaddow</t>
  </si>
  <si>
    <t>NPC</t>
  </si>
  <si>
    <t>STR</t>
  </si>
  <si>
    <t>DEX</t>
  </si>
  <si>
    <t>CON</t>
  </si>
  <si>
    <t>INT</t>
  </si>
  <si>
    <t>WIS</t>
  </si>
  <si>
    <t>CHA</t>
  </si>
  <si>
    <t>AC</t>
  </si>
  <si>
    <t>Type</t>
  </si>
  <si>
    <t>CREATURE STAT BLOCK</t>
  </si>
  <si>
    <t>Epithet</t>
  </si>
  <si>
    <t>Stone That Remembers</t>
  </si>
  <si>
    <t>Role</t>
  </si>
  <si>
    <t>Earth Elemental Commander</t>
  </si>
  <si>
    <t>Size / Type / Alignment</t>
  </si>
  <si>
    <t>Huge elemental, neutral</t>
  </si>
  <si>
    <t>Base HP</t>
  </si>
  <si>
    <t>Speed</t>
  </si>
  <si>
    <t>30 ft., burrow 30 ft.</t>
  </si>
  <si>
    <t>Proficiency Bonus</t>
  </si>
  <si>
    <t>Initiative Mod</t>
  </si>
  <si>
    <t>ABILITY SCORES</t>
  </si>
  <si>
    <t>Score</t>
  </si>
  <si>
    <t>Save Proficient</t>
  </si>
  <si>
    <t>Y</t>
  </si>
  <si>
    <t>Save Bonus</t>
  </si>
  <si>
    <t>DEFENSES &amp; SENSES</t>
  </si>
  <si>
    <t>Resistances</t>
  </si>
  <si>
    <t>bludgeoning, piercing, slashing from nonmagical attacks</t>
  </si>
  <si>
    <t>Immunities</t>
  </si>
  <si>
    <t>poison</t>
  </si>
  <si>
    <t>Condition Immunities</t>
  </si>
  <si>
    <t>exhaustion, paralyzed, petrified, poisoned, unconscious</t>
  </si>
  <si>
    <t>Senses</t>
  </si>
  <si>
    <t>darkvision 60 ft., tremorsense 60 ft., passive Perception 11</t>
  </si>
  <si>
    <t>ATTACKS</t>
  </si>
  <si>
    <t>To Hit</t>
  </si>
  <si>
    <t>Reach / Range</t>
  </si>
  <si>
    <t>Damage</t>
  </si>
  <si>
    <t>Save</t>
  </si>
  <si>
    <t>Effect</t>
  </si>
  <si>
    <t>Slam</t>
  </si>
  <si>
    <t>Melee Weapon</t>
  </si>
  <si>
    <t>10 ft.</t>
  </si>
  <si>
    <t>3d8+7 bludgeoning</t>
  </si>
  <si>
    <t>DC 17 STR</t>
  </si>
  <si>
    <t>On hit, target pushed 10 ft. or knocked prone (DC 17 STR save).</t>
  </si>
  <si>
    <t>Ranged Weapon</t>
  </si>
  <si>
    <t>60/180 ft.</t>
  </si>
  <si>
    <t>3d10+7 bludgeoning</t>
  </si>
  <si>
    <t>If target is flying, DC 17 STR save or pushed 20 ft. and flying speed halved until start of its next turn.</t>
  </si>
  <si>
    <t>TRAITS</t>
  </si>
  <si>
    <t>Description</t>
  </si>
  <si>
    <t>Earth Glide</t>
  </si>
  <si>
    <t>Korrum can burrow through nonmagical, unworked earth and stone without disturbing it.</t>
  </si>
  <si>
    <t>Siege Monster</t>
  </si>
  <si>
    <t>Korrum deals double damage to objects and structures.</t>
  </si>
  <si>
    <t>Elemental Command: Stone Pressure</t>
  </si>
  <si>
    <t>While Korrum lives, each elemental flank deals +10 damage during flank resolution.</t>
  </si>
  <si>
    <t>Legendary Resistance (1/day)</t>
  </si>
  <si>
    <t>If Korrum fails a saving throw, it can choose to succeed instead.</t>
  </si>
  <si>
    <t>ACTIONS</t>
  </si>
  <si>
    <t>Recharge / Uses</t>
  </si>
  <si>
    <t>Multiattack</t>
  </si>
  <si>
    <t>—</t>
  </si>
  <si>
    <t>Korrum makes three attacks, choosing between Slam and Boulder Hurl.</t>
  </si>
  <si>
    <t>Recharge 5–6</t>
  </si>
  <si>
    <t>Choose a 20-ft. square of ground within 90 ft.; it becomes difficult terrain. Creatures in the area make a DC 17 STR save or be restrained. A restrained creature can repeat the save at the end of each of its turns, ending the effect on a success.</t>
  </si>
  <si>
    <t>BONUS ACTIONS</t>
  </si>
  <si>
    <t>Stone Spire</t>
  </si>
  <si>
    <t>DC 16 DEX</t>
  </si>
  <si>
    <t>Raise a 10-ft.-wide, up to 30-ft.-tall stone pillar within 60 ft. (provides cover, blocks line of sight). A creature in the space makes a DC 16 DEX save or is lifted and knocked prone. Pillar: AC 17, HP 40.</t>
  </si>
  <si>
    <t>Stone Renewal</t>
  </si>
  <si>
    <t>2x/day</t>
  </si>
  <si>
    <t>If below ½ HP and touching earth or stone, regain 20 HP. Cannot use if, since the end of its last turn, it took thunder or force damage, was moved against its will, or a creature used an action to disrupt the ground with a successful DC 16 Arcana, Athletics, Nature, or mason's tools check.</t>
  </si>
  <si>
    <t>REACTIONS</t>
  </si>
  <si>
    <t>Trigger</t>
  </si>
  <si>
    <t>Stone Backlash</t>
  </si>
  <si>
    <t>Hit by a ranged or spell attack from a creature within 120 ft.</t>
  </si>
  <si>
    <t>Jagged stone fragments whip back toward the attacker. The attacker takes 2d10 bludgeoning damage on a failed DC 16 DEX save, or half as much on a success.</t>
  </si>
  <si>
    <t>BLOODIED</t>
  </si>
  <si>
    <t>Shardfall</t>
  </si>
  <si>
    <t>First reduced below ½ HP</t>
  </si>
  <si>
    <t>Korrum summons 2 stone shards in spaces within 30 ft. and immediately raises one Stone Spire.</t>
  </si>
  <si>
    <t>the Crownflame</t>
  </si>
  <si>
    <t>Fire Elemental Commander</t>
  </si>
  <si>
    <t>Large elemental, neutral</t>
  </si>
  <si>
    <t>50 ft.</t>
  </si>
  <si>
    <t>fire, poison</t>
  </si>
  <si>
    <t>exhaustion, grappled, paralyzed, petrified, poisoned, prone, restrained, unconscious</t>
  </si>
  <si>
    <t>darkvision 60 ft., passive Perception 12</t>
  </si>
  <si>
    <t>Burning Touch</t>
  </si>
  <si>
    <t>5 ft.</t>
  </si>
  <si>
    <t>2d8+6 fire</t>
  </si>
  <si>
    <t>Target ignites: until a creature uses an action to extinguish, it takes 1d8 fire at the start of each of its turns. This ongoing damage does not stack.</t>
  </si>
  <si>
    <t>Ember Lance</t>
  </si>
  <si>
    <t>Ranged Spell</t>
  </si>
  <si>
    <t>120 ft.</t>
  </si>
  <si>
    <t>3d8+6 fire</t>
  </si>
  <si>
    <t>If the target is concentrating, the concentration save DC is at least 12.</t>
  </si>
  <si>
    <t>Fire Form</t>
  </si>
  <si>
    <t>Veyrath can move through a space as narrow as 1 inch wide without squeezing. A creature that touches Veyrath or hits it with a melee attack while within 5 ft. takes 5 fire damage, no more than once per creature per round.</t>
  </si>
  <si>
    <t>Illumination</t>
  </si>
  <si>
    <t>Veyrath sheds bright light in a 30-ft. radius and dim light for another 30 ft.</t>
  </si>
  <si>
    <t>Elemental Command: Flame Pressure</t>
  </si>
  <si>
    <t>While Veyrath lives, each hobgoblin flank takes +10 fire attrition during flank resolution.</t>
  </si>
  <si>
    <t>If Veyrath fails a saving throw, it can choose to succeed instead.</t>
  </si>
  <si>
    <t>Veyrath makes three attacks, choosing between Burning Touch and Ember Lance.</t>
  </si>
  <si>
    <t>Thermal Updraft</t>
  </si>
  <si>
    <t>Recharge 4–6</t>
  </si>
  <si>
    <t>DC 17 STR/DEX</t>
  </si>
  <si>
    <t>A 20-ft.-radius, 60-ft.-high cylinder of superheated air within 90 ft. Creatures make a DC 17 STR or DEX save. Failure: 4d6 fire damage and pushed 30 ft. (Veyrath's choice). Success: half damage, no push. Flying creatures that ended their last turn without moving 20+ ft. have disadvantage.</t>
  </si>
  <si>
    <t>Cinder Swarm</t>
  </si>
  <si>
    <t>Fills a 20-ft.-radius sphere within 120 ft. with ash and sparks until the end of its next turn; the area is heavily obscured. Creatures entering for the first time or starting their turn there take 3d6 fire damage. Ranged attacks through, into, or out of the area have disadvantage.</t>
  </si>
  <si>
    <t>Flame Renewal</t>
  </si>
  <si>
    <t>If below ½ HP and within 30 ft. of open flame, burning debris, or intense heat, regain 20 HP. Cannot use if, since the end of its last turn, it took cold or radiant damage, was doused or smothered, or a creature used an action to disrupt nearby flames with a successful DC 16 Arcana, Nature, Survival, or appropriate tool check.</t>
  </si>
  <si>
    <t>Flare Back</t>
  </si>
  <si>
    <t>Hit by a ranged or spell attack from within 120 ft.</t>
  </si>
  <si>
    <t>The attacker takes 2d8 fire damage on a failed DC 16 DEX save, or half as much on a success.</t>
  </si>
  <si>
    <t>Crownflame Eruption</t>
  </si>
  <si>
    <t>DC 17 DEX</t>
  </si>
  <si>
    <t>Creatures within 15 ft. make a DC 17 DEX save, taking 4d6 fire damage on a failure or half on a success. Veyrath summons 2 flame wisps in spaces within 30 ft.</t>
  </si>
  <si>
    <t>NPC Source</t>
  </si>
  <si>
    <t>Quantity</t>
  </si>
  <si>
    <t>Group Name</t>
  </si>
  <si>
    <t>Initiative Mode</t>
  </si>
  <si>
    <t>HP Override</t>
  </si>
  <si>
    <t>Notes</t>
  </si>
  <si>
    <t>Individual</t>
  </si>
  <si>
    <t>Flame Wisp</t>
  </si>
  <si>
    <t>Wisp Pack</t>
  </si>
  <si>
    <t>Grouped Attacks</t>
  </si>
  <si>
    <t>Summoned by Veyrath (no stat tab; uses HP override)</t>
  </si>
  <si>
    <t>TRACKER HOOKS</t>
  </si>
  <si>
    <t>Attacks / Round</t>
  </si>
  <si>
    <t>(AC=B7, HP=B8, Init=B11, Atk1 to-hit=C28)</t>
  </si>
  <si>
    <t>⚔  COMBAT TRACKER</t>
  </si>
  <si>
    <t>Round</t>
  </si>
  <si>
    <t>Turn #</t>
  </si>
  <si>
    <t>Current Turn</t>
  </si>
  <si>
    <t>Next Up</t>
  </si>
  <si>
    <t>Enemies Alive</t>
  </si>
  <si>
    <t>Enemy HP Left</t>
  </si>
  <si>
    <t>Attacks in Pool</t>
  </si>
  <si>
    <t>Tip: NPC initiative auto-rolls on F9. Type over any cell to override. Advance play by changing Turn # / Round above.</t>
  </si>
  <si>
    <t>Turn</t>
  </si>
  <si>
    <t>Init</t>
  </si>
  <si>
    <t>Group</t>
  </si>
  <si>
    <t>Active/Orig</t>
  </si>
  <si>
    <t>Cur HP</t>
  </si>
  <si>
    <t>Max HP</t>
  </si>
  <si>
    <t>Temp</t>
  </si>
  <si>
    <t>Atk Pool</t>
  </si>
  <si>
    <t>Conditions</t>
  </si>
  <si>
    <t>Status</t>
  </si>
  <si>
    <t>GROUP / MEMBER ENGINE  (individual HP retained; group row aggregates these)</t>
  </si>
  <si>
    <t>Member</t>
  </si>
  <si>
    <t>Can Attack?</t>
  </si>
  <si>
    <t>Atk/Member</t>
  </si>
  <si>
    <t>Flame Wisp 1</t>
  </si>
  <si>
    <t>Flame Wisp 2</t>
  </si>
  <si>
    <t>Flame Wisp 3</t>
  </si>
  <si>
    <t>Source</t>
  </si>
  <si>
    <t>Target</t>
  </si>
  <si>
    <t>Event Type</t>
  </si>
  <si>
    <t>Amount</t>
  </si>
  <si>
    <t>Dmg Type</t>
  </si>
  <si>
    <t>Attack / Effect</t>
  </si>
  <si>
    <t>fire</t>
  </si>
  <si>
    <t>Firebolt</t>
  </si>
  <si>
    <t>Sample entry — delete to reset</t>
  </si>
  <si>
    <t>BATCH ATTACK ROLLER  —  press F9 to re-roll</t>
  </si>
  <si>
    <t># Attacks</t>
  </si>
  <si>
    <t>Target AC</t>
  </si>
  <si>
    <t>Avg Dmg/Hit</t>
  </si>
  <si>
    <t>Roll</t>
  </si>
  <si>
    <t>Roll+Hit</t>
  </si>
  <si>
    <t>Result</t>
  </si>
  <si>
    <t>Hits</t>
  </si>
  <si>
    <t>Est Damage</t>
  </si>
  <si>
    <t>MOB RESOLUTION  —  expected hits for large formations</t>
  </si>
  <si>
    <t># Attackers</t>
  </si>
  <si>
    <t>Req. d20 Roll</t>
  </si>
  <si>
    <t>Attackers / Hit</t>
  </si>
  <si>
    <t>Estimated Hits</t>
  </si>
  <si>
    <t>Override Hits (opt)</t>
  </si>
  <si>
    <t>Avg Dmg / Hit</t>
  </si>
  <si>
    <t>Total Damage</t>
  </si>
  <si>
    <t>Min Roll</t>
  </si>
  <si>
    <t>Attackers/Hit</t>
  </si>
  <si>
    <t>GROUP DAMAGE ASSISTANT</t>
  </si>
  <si>
    <t>Incoming Damage</t>
  </si>
  <si>
    <t>Active Members</t>
  </si>
  <si>
    <t>Even Split / Member</t>
  </si>
  <si>
    <t>Casualties (mob est.)</t>
  </si>
  <si>
    <t>Focused: log one Damage event to a single member. Front-loaded: apply to the lowest-HP member first, carry overflow to next.</t>
  </si>
  <si>
    <t>HOW TO USE</t>
  </si>
  <si>
    <t>• Initiative: NPC rows auto-roll on F9; type players' rolls into the Init column. Turn order re-sorts automatically.</t>
  </si>
  <si>
    <t>• Advance play: change Turn # (and Round) in the banner — Current Turn / Next Up update automatically.</t>
  </si>
  <si>
    <t>• Damage / Healing: add a row to the Combat Log (columns P–X). Target a combatant or a single group member; HP recalculates.</t>
  </si>
  <si>
    <t>• Groups: edit member rows above; active count and attack pool recalc and dead members leave the pool automatically.</t>
  </si>
  <si>
    <t>• Batch roller / Mob: set the inputs and press F9 (batch) or read the estimate (mob). Override hits where needed.</t>
  </si>
  <si>
    <t>• Override anything: type directly over any cell (HP, status, initiative). Status auto-colors Active / Bloodied / Dead.</t>
  </si>
  <si>
    <t>INITIATIVE ROLLER  —  press F9, then type results into the Init column</t>
  </si>
  <si>
    <t>Roll (d20+mod)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</si>
</sst>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
  </numFmts>
  <fonts count="16" x14ac:knownFonts="1">
    <font>
      <sz val="11"/>
      <color theme="1"/>
      <name val="Aptos Narrow"/>
      <family val="2"/>
      <scheme val="minor"/>
    </font>
    <font>
      <b/>
      <sz val="11"/>
      <color theme="1"/>
      <name val="Aptos Narrow"/>
      <family val="2"/>
      <scheme val="minor"/>
    </font>
    <font>
      <sz val="11"/>
      <color rgb="FF000000"/>
      <name val="Aptos Narrow"/>
      <family val="2"/>
      <scheme val="minor"/>
    </font>
    <font>
      <i/>
      <sz val="9"/>
      <color rgb="FF808080"/>
      <name val="Aptos Narrow"/>
      <family val="2"/>
      <scheme val="minor"/>
    </font>
    <font>
      <sz val="11"/>
      <color rgb="FF0000FF"/>
      <name val="Aptos Narrow"/>
      <family val="2"/>
      <scheme val="minor"/>
    </font>
    <font>
      <b/>
      <sz val="11"/>
      <color rgb="FF0000FF"/>
      <name val="Aptos Narrow"/>
      <family val="2"/>
      <scheme val="minor"/>
    </font>
    <font>
      <b/>
      <sz val="11"/>
      <color rgb="FFFFFFFF"/>
      <name val="Aptos Narrow"/>
      <family val="2"/>
      <scheme val="minor"/>
    </font>
    <font>
      <b/>
      <sz val="14"/>
      <color rgb="FFFFFFFF"/>
      <name val="Aptos Narrow"/>
      <family val="2"/>
      <scheme val="minor"/>
    </font>
    <font>
      <b/>
      <sz val="16"/>
      <color rgb="FFFFFFFF"/>
      <name val="Aptos Narrow"/>
      <family val="2"/>
      <scheme val="minor"/>
    </font>
    <font>
      <b/>
      <sz val="14"/>
      <color rgb="FF0000FF"/>
      <name val="Aptos Narrow"/>
      <family val="2"/>
      <scheme val="minor"/>
    </font>
    <font>
      <b/>
      <sz val="13"/>
      <color rgb="FFC00000"/>
      <name val="Aptos Narrow"/>
      <family val="2"/>
      <scheme val="minor"/>
    </font>
    <font>
      <sz val="11"/>
      <color rgb="FF008000"/>
      <name val="Aptos Narrow"/>
      <family val="2"/>
      <scheme val="minor"/>
    </font>
    <font>
      <sz val="9"/>
      <color theme="1"/>
      <name val="Aptos Narrow"/>
      <family val="2"/>
      <scheme val="minor"/>
    </font>
    <font>
      <b/>
      <sz val="12"/>
      <color theme="1"/>
      <name val="Aptos Narrow"/>
      <family val="2"/>
      <scheme val="minor"/>
    </font>
    <font>
      <b/>
      <i/>
      <sz val="9"/>
      <color rgb="FF808080"/>
      <name val="Aptos Narrow"/>
      <family val="2"/>
      <scheme val="minor"/>
    </font>
    <font>
      <sz val="10"/>
      <color theme="1"/>
      <name val="Aptos Narrow"/>
      <family val="2"/>
      <scheme val="minor"/>
    </font>
  </fonts>
  <fills count="10">
    <fill>
      <patternFill patternType="none"/>
    </fill>
    <fill>
      <patternFill patternType="gray125"/>
    </fill>
    <fill>
      <patternFill patternType="solid">
        <fgColor rgb="FFFFF2CC"/>
        <bgColor indexed="64"/>
      </patternFill>
    </fill>
    <fill>
      <patternFill patternType="solid">
        <fgColor rgb="FF2F528F"/>
        <bgColor indexed="64"/>
      </patternFill>
    </fill>
    <fill>
      <patternFill patternType="solid">
        <fgColor rgb="FF44546A"/>
        <bgColor indexed="64"/>
      </patternFill>
    </fill>
    <fill>
      <patternFill patternType="solid">
        <fgColor rgb="FFD9D9D9"/>
        <bgColor indexed="64"/>
      </patternFill>
    </fill>
    <fill>
      <patternFill patternType="solid">
        <fgColor rgb="FF7030A0"/>
        <bgColor indexed="64"/>
      </patternFill>
    </fill>
    <fill>
      <patternFill patternType="solid">
        <fgColor rgb="FFE4DFEC"/>
        <bgColor indexed="64"/>
      </patternFill>
    </fill>
    <fill>
      <patternFill patternType="solid">
        <fgColor rgb="FFC45911"/>
        <bgColor indexed="64"/>
      </patternFill>
    </fill>
    <fill>
      <patternFill patternType="solid">
        <fgColor rgb="FFFCE4D6"/>
        <bgColor indexed="64"/>
      </patternFill>
    </fill>
  </fills>
  <borders count="5">
    <border>
      <left/>
      <right/>
      <top/>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3">
    <xf numFmtId="0" fontId="0" fillId="0" borderId="0" xfId="0"/>
    <xf numFmtId="0" fontId="0" fillId="0" borderId="0" xfId="0" applyAlignment="1">
      <alignment horizontal="center"/>
    </xf>
    <xf numFmtId="0" fontId="2" fillId="0" borderId="0" xfId="0" applyFont="1"/>
    <xf numFmtId="0" fontId="3" fillId="0" borderId="0" xfId="0" applyFont="1"/>
    <xf numFmtId="0" fontId="1" fillId="0" borderId="0" xfId="0" applyFont="1"/>
    <xf numFmtId="0" fontId="1" fillId="0" borderId="0" xfId="0" applyFont="1" applyAlignment="1">
      <alignment horizontal="center"/>
    </xf>
    <xf numFmtId="0" fontId="4" fillId="0" borderId="0" xfId="0" applyFont="1" applyAlignment="1">
      <alignment horizontal="center"/>
    </xf>
    <xf numFmtId="168" fontId="0" fillId="0" borderId="0" xfId="0" applyNumberFormat="1" applyAlignment="1">
      <alignment horizontal="center"/>
    </xf>
    <xf numFmtId="168" fontId="4" fillId="0" borderId="0" xfId="0" applyNumberFormat="1" applyFont="1" applyAlignment="1">
      <alignment horizontal="center"/>
    </xf>
    <xf numFmtId="0" fontId="1" fillId="5" borderId="0" xfId="0" applyFont="1" applyFill="1" applyAlignment="1">
      <alignment horizontal="center"/>
    </xf>
    <xf numFmtId="0" fontId="1" fillId="5" borderId="0" xfId="0" applyFont="1" applyFill="1"/>
    <xf numFmtId="0" fontId="7" fillId="3" borderId="0" xfId="0" applyFont="1" applyFill="1" applyAlignment="1">
      <alignment horizontal="center" vertical="top" wrapText="1"/>
    </xf>
    <xf numFmtId="0" fontId="0" fillId="0" borderId="0" xfId="0" applyAlignment="1">
      <alignment vertical="top" wrapText="1"/>
    </xf>
    <xf numFmtId="0" fontId="6" fillId="4" borderId="0" xfId="0" applyFont="1" applyFill="1" applyAlignment="1">
      <alignment vertical="top" wrapText="1"/>
    </xf>
    <xf numFmtId="0" fontId="1" fillId="0" borderId="3"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left" vertical="top" wrapText="1"/>
    </xf>
    <xf numFmtId="168" fontId="4" fillId="0" borderId="3" xfId="0" applyNumberFormat="1" applyFont="1" applyBorder="1" applyAlignment="1">
      <alignment horizontal="left" vertical="top" wrapText="1"/>
    </xf>
    <xf numFmtId="168" fontId="2" fillId="0" borderId="3" xfId="0" applyNumberFormat="1" applyFont="1" applyBorder="1" applyAlignment="1">
      <alignment horizontal="left" vertical="top" wrapText="1"/>
    </xf>
    <xf numFmtId="0" fontId="0" fillId="5" borderId="3" xfId="0" applyFill="1" applyBorder="1" applyAlignment="1">
      <alignment vertical="top" wrapText="1"/>
    </xf>
    <xf numFmtId="0" fontId="1" fillId="5" borderId="3" xfId="0" applyFont="1" applyFill="1" applyBorder="1" applyAlignment="1">
      <alignment horizontal="center" vertical="top" wrapText="1"/>
    </xf>
    <xf numFmtId="0" fontId="4" fillId="0" borderId="3" xfId="0" applyFont="1" applyBorder="1" applyAlignment="1">
      <alignment horizontal="center" vertical="top" wrapText="1"/>
    </xf>
    <xf numFmtId="168" fontId="0" fillId="0" borderId="3" xfId="0" applyNumberFormat="1" applyBorder="1" applyAlignment="1">
      <alignment horizontal="center" vertical="top" wrapText="1"/>
    </xf>
    <xf numFmtId="0" fontId="0" fillId="0" borderId="3" xfId="0" applyBorder="1" applyAlignment="1">
      <alignment vertical="top" wrapText="1"/>
    </xf>
    <xf numFmtId="0" fontId="1" fillId="5" borderId="3" xfId="0" applyFont="1" applyFill="1" applyBorder="1" applyAlignment="1">
      <alignment vertical="top" wrapText="1"/>
    </xf>
    <xf numFmtId="0" fontId="5" fillId="5" borderId="3" xfId="0" applyFont="1" applyFill="1" applyBorder="1" applyAlignment="1">
      <alignment vertical="top" wrapText="1"/>
    </xf>
    <xf numFmtId="0" fontId="1" fillId="5" borderId="3" xfId="0" applyFont="1" applyFill="1" applyBorder="1" applyAlignment="1">
      <alignment vertical="top" wrapText="1"/>
    </xf>
    <xf numFmtId="0" fontId="1" fillId="0" borderId="3" xfId="0" applyFont="1" applyBorder="1" applyAlignment="1">
      <alignment vertical="top" wrapText="1"/>
    </xf>
    <xf numFmtId="0" fontId="5" fillId="0" borderId="3" xfId="0" applyFont="1" applyBorder="1" applyAlignment="1">
      <alignment vertical="top" wrapText="1"/>
    </xf>
    <xf numFmtId="0" fontId="4" fillId="0" borderId="3" xfId="0" applyFont="1" applyBorder="1" applyAlignment="1">
      <alignment vertical="top" wrapText="1"/>
    </xf>
    <xf numFmtId="168" fontId="4" fillId="0" borderId="3" xfId="0" applyNumberFormat="1" applyFont="1" applyBorder="1" applyAlignment="1">
      <alignment horizontal="center" vertical="top" wrapText="1"/>
    </xf>
    <xf numFmtId="0" fontId="4" fillId="0" borderId="2" xfId="0" applyFont="1" applyBorder="1" applyAlignment="1">
      <alignment wrapText="1"/>
    </xf>
    <xf numFmtId="0" fontId="0" fillId="0" borderId="1" xfId="0" applyBorder="1" applyAlignment="1">
      <alignment wrapText="1"/>
    </xf>
    <xf numFmtId="0" fontId="0" fillId="0" borderId="4" xfId="0" applyBorder="1" applyAlignment="1">
      <alignment wrapText="1"/>
    </xf>
    <xf numFmtId="0" fontId="6" fillId="4" borderId="0" xfId="0" applyFont="1" applyFill="1"/>
    <xf numFmtId="0" fontId="8" fillId="3" borderId="0" xfId="0" applyFont="1" applyFill="1"/>
    <xf numFmtId="0" fontId="9" fillId="2" borderId="0" xfId="0" applyFont="1" applyFill="1" applyAlignment="1">
      <alignment horizontal="center"/>
    </xf>
    <xf numFmtId="0" fontId="10" fillId="0" borderId="0" xfId="0" applyFont="1"/>
    <xf numFmtId="0" fontId="6" fillId="4" borderId="0" xfId="0" applyFont="1" applyFill="1" applyAlignment="1">
      <alignment horizontal="center"/>
    </xf>
    <xf numFmtId="0" fontId="11" fillId="0" borderId="0" xfId="0" applyFont="1" applyAlignment="1">
      <alignment horizontal="center"/>
    </xf>
    <xf numFmtId="0" fontId="6" fillId="6" borderId="0" xfId="0" applyFont="1" applyFill="1"/>
    <xf numFmtId="0" fontId="1" fillId="7" borderId="0" xfId="0" applyFont="1" applyFill="1"/>
    <xf numFmtId="0" fontId="1" fillId="7" borderId="0" xfId="0" applyFont="1" applyFill="1" applyAlignment="1">
      <alignment horizontal="center"/>
    </xf>
    <xf numFmtId="0" fontId="6" fillId="8" borderId="0" xfId="0" applyFont="1" applyFill="1"/>
    <xf numFmtId="0" fontId="1" fillId="9" borderId="0" xfId="0" applyFont="1" applyFill="1"/>
    <xf numFmtId="0" fontId="1" fillId="9" borderId="0" xfId="0" applyFont="1" applyFill="1" applyAlignment="1">
      <alignment horizontal="center"/>
    </xf>
    <xf numFmtId="0" fontId="12" fillId="0" borderId="0" xfId="0" applyFont="1" applyAlignment="1">
      <alignment horizontal="center"/>
    </xf>
    <xf numFmtId="0" fontId="13" fillId="0" borderId="0" xfId="0" applyFont="1" applyAlignment="1">
      <alignment horizontal="center"/>
    </xf>
    <xf numFmtId="0" fontId="4" fillId="2" borderId="0" xfId="0" applyFont="1" applyFill="1"/>
    <xf numFmtId="0" fontId="4" fillId="2" borderId="0" xfId="0" applyFont="1" applyFill="1" applyAlignment="1">
      <alignment horizontal="center"/>
    </xf>
    <xf numFmtId="0" fontId="14" fillId="0" borderId="0" xfId="0" applyFont="1"/>
    <xf numFmtId="0" fontId="6" fillId="3" borderId="0" xfId="0" applyFont="1" applyFill="1"/>
    <xf numFmtId="0" fontId="15" fillId="0" borderId="0" xfId="0" applyFont="1"/>
  </cellXfs>
  <cellStyles count="1">
    <cellStyle name="Normal" xfId="0" builtinId="0"/>
  </cellStyles>
  <dxfs count="8">
    <dxf>
      <font>
        <color rgb="FF006100"/>
      </font>
      <fill>
        <patternFill patternType="solid">
          <fgColor indexed="64"/>
          <bgColor rgb="FFC6EFCE"/>
        </patternFill>
      </fill>
    </dxf>
    <dxf>
      <font>
        <color rgb="FF000000"/>
      </font>
      <fill>
        <patternFill patternType="solid">
          <fgColor indexed="64"/>
          <bgColor rgb="FFFFC000"/>
        </patternFill>
      </fill>
    </dxf>
    <dxf>
      <font>
        <color rgb="FFFFFFFF"/>
      </font>
      <fill>
        <patternFill patternType="solid">
          <fgColor indexed="64"/>
          <bgColor rgb="FFC00000"/>
        </patternFill>
      </fill>
    </dxf>
    <dxf>
      <font>
        <color rgb="FF006100"/>
      </font>
      <fill>
        <patternFill patternType="solid">
          <fgColor indexed="64"/>
          <bgColor rgb="FFC6EFCE"/>
        </patternFill>
      </fill>
    </dxf>
    <dxf>
      <font>
        <color rgb="FF000000"/>
      </font>
      <fill>
        <patternFill patternType="solid">
          <fgColor indexed="64"/>
          <bgColor rgb="FFFFC000"/>
        </patternFill>
      </fill>
    </dxf>
    <dxf>
      <font>
        <color rgb="FFFFFFFF"/>
      </font>
      <fill>
        <patternFill patternType="solid">
          <fgColor indexed="64"/>
          <bgColor rgb="FFC00000"/>
        </patternFill>
      </fill>
    </dxf>
    <dxf>
      <fill>
        <patternFill patternType="solid">
          <fgColor indexed="64"/>
          <bgColor rgb="FFFFE699"/>
        </patternFill>
      </fill>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4438D-316B-491E-BEF2-5119C338AFB3}" name="Encounter" displayName="Encounter" ref="A1:H9" totalsRowShown="0" headerRowDxfId="7">
  <autoFilter ref="A1:H9" xr:uid="{BCF4438D-316B-491E-BEF2-5119C338AFB3}"/>
  <tableColumns count="8">
    <tableColumn id="1" xr3:uid="{9EADF58D-7D27-4143-B7DC-A265D9E0CCE1}" name="Type"/>
    <tableColumn id="2" xr3:uid="{EAC7D542-B622-4E2E-9CC1-5FCBEABD65B9}" name="Name"/>
    <tableColumn id="3" xr3:uid="{8C77B643-65EB-4C2C-AD1C-97CDDB940E41}" name="NPC Source"/>
    <tableColumn id="4" xr3:uid="{457D5BD7-0111-4F30-9CF3-C1C96EE47097}" name="Quantity"/>
    <tableColumn id="5" xr3:uid="{CC32DFC3-6439-4931-8DA6-E23F59FCA192}" name="Group Name"/>
    <tableColumn id="6" xr3:uid="{FC2B7F97-D216-41A9-8DEB-012618EEAA1A}" name="Initiative Mode"/>
    <tableColumn id="7" xr3:uid="{AAEFEB86-25CC-4706-B314-B3FD3FFF160A}" name="HP Override"/>
    <tableColumn id="8" xr3:uid="{7679FCFC-B9D2-45F2-BF9A-37BFDC4E617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362177-475D-4D78-B6F0-19C561AD5D28}">
  <we:reference id="wa200009404" version="1.0.0.8" store="en-US" storeType="OMEX"/>
  <we:alternateReferences>
    <we:reference id="WA200009404" version="1.0.0.8" store="" storeType="OMEX"/>
  </we:alternateReferences>
  <we:properties>
    <we:property name="claude.fileId" value="&quot;dc6a00f4-04fb-4e0f-be69-ce3ee3f5ef0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6F8A-4161-46FD-A840-07DC45F74437}">
  <dimension ref="A1:H9"/>
  <sheetViews>
    <sheetView topLeftCell="B1" workbookViewId="0"/>
  </sheetViews>
  <sheetFormatPr defaultRowHeight="14.5" x14ac:dyDescent="0.35"/>
  <cols>
    <col min="1" max="1" width="12.7265625" customWidth="1"/>
    <col min="2" max="2" width="23.6328125" customWidth="1"/>
    <col min="3" max="3" width="20" customWidth="1"/>
    <col min="4" max="4" width="12.7265625" customWidth="1"/>
    <col min="5" max="5" width="25.453125" customWidth="1"/>
    <col min="6" max="6" width="21.81640625" customWidth="1"/>
    <col min="7" max="7" width="16.36328125" customWidth="1"/>
    <col min="8" max="8" width="47.26953125" customWidth="1"/>
  </cols>
  <sheetData>
    <row r="1" spans="1:8" x14ac:dyDescent="0.35">
      <c r="A1" s="4" t="s">
        <v>20</v>
      </c>
      <c r="B1" s="4" t="s">
        <v>0</v>
      </c>
      <c r="C1" s="4" t="s">
        <v>134</v>
      </c>
      <c r="D1" s="4" t="s">
        <v>135</v>
      </c>
      <c r="E1" s="4" t="s">
        <v>136</v>
      </c>
      <c r="F1" s="4" t="s">
        <v>137</v>
      </c>
      <c r="G1" s="4" t="s">
        <v>138</v>
      </c>
      <c r="H1" s="4" t="s">
        <v>139</v>
      </c>
    </row>
    <row r="2" spans="1:8" x14ac:dyDescent="0.35">
      <c r="A2" t="s">
        <v>10</v>
      </c>
      <c r="B2" t="s">
        <v>5</v>
      </c>
      <c r="C2" t="s">
        <v>5</v>
      </c>
      <c r="D2">
        <v>1</v>
      </c>
      <c r="F2" t="s">
        <v>140</v>
      </c>
    </row>
    <row r="3" spans="1:8" x14ac:dyDescent="0.35">
      <c r="A3" t="s">
        <v>10</v>
      </c>
      <c r="B3" t="s">
        <v>6</v>
      </c>
      <c r="C3" t="s">
        <v>6</v>
      </c>
      <c r="D3">
        <v>1</v>
      </c>
      <c r="F3" t="s">
        <v>140</v>
      </c>
    </row>
    <row r="4" spans="1:8" x14ac:dyDescent="0.35">
      <c r="A4" t="s">
        <v>10</v>
      </c>
      <c r="B4" t="s">
        <v>7</v>
      </c>
      <c r="C4" t="s">
        <v>7</v>
      </c>
      <c r="D4">
        <v>1</v>
      </c>
      <c r="F4" t="s">
        <v>140</v>
      </c>
    </row>
    <row r="5" spans="1:8" x14ac:dyDescent="0.35">
      <c r="A5" t="s">
        <v>10</v>
      </c>
      <c r="B5" t="s">
        <v>8</v>
      </c>
      <c r="C5" t="s">
        <v>8</v>
      </c>
      <c r="D5">
        <v>1</v>
      </c>
      <c r="F5" t="s">
        <v>140</v>
      </c>
    </row>
    <row r="6" spans="1:8" x14ac:dyDescent="0.35">
      <c r="A6" t="s">
        <v>10</v>
      </c>
      <c r="B6" t="s">
        <v>11</v>
      </c>
      <c r="C6" t="s">
        <v>11</v>
      </c>
      <c r="D6">
        <v>1</v>
      </c>
      <c r="F6" t="s">
        <v>140</v>
      </c>
    </row>
    <row r="7" spans="1:8" x14ac:dyDescent="0.35">
      <c r="A7" t="s">
        <v>12</v>
      </c>
      <c r="B7" t="s">
        <v>1</v>
      </c>
      <c r="C7" t="s">
        <v>1</v>
      </c>
      <c r="D7">
        <v>1</v>
      </c>
      <c r="F7" t="s">
        <v>140</v>
      </c>
    </row>
    <row r="8" spans="1:8" x14ac:dyDescent="0.35">
      <c r="A8" t="s">
        <v>12</v>
      </c>
      <c r="B8" t="s">
        <v>9</v>
      </c>
      <c r="C8" t="s">
        <v>9</v>
      </c>
      <c r="D8">
        <v>1</v>
      </c>
      <c r="F8" t="s">
        <v>140</v>
      </c>
    </row>
    <row r="9" spans="1:8" x14ac:dyDescent="0.35">
      <c r="A9" t="s">
        <v>12</v>
      </c>
      <c r="B9" t="s">
        <v>141</v>
      </c>
      <c r="D9">
        <v>3</v>
      </c>
      <c r="E9" t="s">
        <v>142</v>
      </c>
      <c r="F9" t="s">
        <v>143</v>
      </c>
      <c r="G9">
        <v>10</v>
      </c>
      <c r="H9" t="s">
        <v>144</v>
      </c>
    </row>
  </sheetData>
  <dataValidations count="2">
    <dataValidation type="list" allowBlank="1" showInputMessage="1" showErrorMessage="1" sqref="A2:A200" xr:uid="{8DBAFC7D-91EC-4C5D-9B2E-D2768A007578}">
      <formula1>"PC,NPC,Ally,Hazard,Event"</formula1>
    </dataValidation>
    <dataValidation type="list" allowBlank="1" showInputMessage="1" showErrorMessage="1" sqref="F2:F200" xr:uid="{947AE768-A6D5-45D2-9F4F-76498403C0AA}">
      <formula1>"Individual,Shared,Grouped Attacks,Mob"</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EABD1-11D6-43B7-9031-B1F08BD011C6}">
  <dimension ref="A1:K54"/>
  <sheetViews>
    <sheetView topLeftCell="B1" workbookViewId="0">
      <selection activeCell="B15" sqref="B15"/>
    </sheetView>
  </sheetViews>
  <sheetFormatPr defaultRowHeight="14.5" x14ac:dyDescent="0.35"/>
  <cols>
    <col min="1" max="1" width="30" customWidth="1"/>
    <col min="2" max="8" width="16.7265625" customWidth="1"/>
  </cols>
  <sheetData>
    <row r="1" spans="1:11" ht="18.5" x14ac:dyDescent="0.35">
      <c r="A1" s="11" t="s">
        <v>21</v>
      </c>
      <c r="B1" s="11"/>
      <c r="C1" s="11"/>
      <c r="D1" s="11"/>
      <c r="E1" s="11"/>
      <c r="F1" s="11"/>
      <c r="G1" s="11"/>
      <c r="H1" s="11"/>
      <c r="J1" s="34" t="s">
        <v>145</v>
      </c>
    </row>
    <row r="2" spans="1:11" x14ac:dyDescent="0.35">
      <c r="A2" s="12"/>
      <c r="B2" s="12"/>
      <c r="C2" s="12"/>
      <c r="D2" s="12"/>
      <c r="E2" s="12"/>
      <c r="F2" s="12"/>
      <c r="G2" s="12"/>
      <c r="H2" s="12"/>
      <c r="J2" s="4" t="s">
        <v>146</v>
      </c>
      <c r="K2" s="6">
        <v>3</v>
      </c>
    </row>
    <row r="3" spans="1:11" x14ac:dyDescent="0.35">
      <c r="A3" s="14" t="s">
        <v>0</v>
      </c>
      <c r="B3" s="15" t="s">
        <v>1</v>
      </c>
      <c r="C3" s="15"/>
      <c r="D3" s="15"/>
      <c r="E3" s="15"/>
      <c r="F3" s="15"/>
      <c r="G3" s="15"/>
      <c r="H3" s="15"/>
      <c r="J3" s="3" t="s">
        <v>147</v>
      </c>
    </row>
    <row r="4" spans="1:11" x14ac:dyDescent="0.35">
      <c r="A4" s="14" t="s">
        <v>22</v>
      </c>
      <c r="B4" s="15" t="s">
        <v>23</v>
      </c>
      <c r="C4" s="15"/>
      <c r="D4" s="15"/>
      <c r="E4" s="15"/>
      <c r="F4" s="15"/>
      <c r="G4" s="15"/>
      <c r="H4" s="15"/>
    </row>
    <row r="5" spans="1:11" x14ac:dyDescent="0.35">
      <c r="A5" s="14" t="s">
        <v>24</v>
      </c>
      <c r="B5" s="15" t="s">
        <v>25</v>
      </c>
      <c r="C5" s="15"/>
      <c r="D5" s="15"/>
      <c r="E5" s="15"/>
      <c r="F5" s="15"/>
      <c r="G5" s="15"/>
      <c r="H5" s="15"/>
    </row>
    <row r="6" spans="1:11" x14ac:dyDescent="0.35">
      <c r="A6" s="14" t="s">
        <v>26</v>
      </c>
      <c r="B6" s="15" t="s">
        <v>27</v>
      </c>
      <c r="C6" s="15"/>
      <c r="D6" s="15"/>
      <c r="E6" s="15"/>
      <c r="F6" s="15"/>
      <c r="G6" s="15"/>
      <c r="H6" s="15"/>
    </row>
    <row r="7" spans="1:11" x14ac:dyDescent="0.35">
      <c r="A7" s="14" t="s">
        <v>19</v>
      </c>
      <c r="B7" s="16">
        <v>18</v>
      </c>
      <c r="C7" s="16"/>
      <c r="D7" s="16"/>
      <c r="E7" s="16"/>
      <c r="F7" s="16"/>
      <c r="G7" s="16"/>
      <c r="H7" s="16"/>
    </row>
    <row r="8" spans="1:11" x14ac:dyDescent="0.35">
      <c r="A8" s="14" t="s">
        <v>28</v>
      </c>
      <c r="B8" s="16">
        <v>285</v>
      </c>
      <c r="C8" s="16"/>
      <c r="D8" s="16"/>
      <c r="E8" s="16"/>
      <c r="F8" s="16"/>
      <c r="G8" s="16"/>
      <c r="H8" s="16"/>
    </row>
    <row r="9" spans="1:11" x14ac:dyDescent="0.35">
      <c r="A9" s="14" t="s">
        <v>29</v>
      </c>
      <c r="B9" s="15" t="s">
        <v>30</v>
      </c>
      <c r="C9" s="15"/>
      <c r="D9" s="15"/>
      <c r="E9" s="15"/>
      <c r="F9" s="15"/>
      <c r="G9" s="15"/>
      <c r="H9" s="15"/>
    </row>
    <row r="10" spans="1:11" x14ac:dyDescent="0.35">
      <c r="A10" s="14" t="s">
        <v>31</v>
      </c>
      <c r="B10" s="17">
        <v>4</v>
      </c>
      <c r="C10" s="17"/>
      <c r="D10" s="17"/>
      <c r="E10" s="17"/>
      <c r="F10" s="17"/>
      <c r="G10" s="17"/>
      <c r="H10" s="17"/>
    </row>
    <row r="11" spans="1:11" x14ac:dyDescent="0.35">
      <c r="A11" s="14" t="s">
        <v>32</v>
      </c>
      <c r="B11" s="18">
        <f>C16</f>
        <v>-1</v>
      </c>
      <c r="C11" s="18"/>
      <c r="D11" s="18"/>
      <c r="E11" s="18"/>
      <c r="F11" s="18"/>
      <c r="G11" s="18"/>
      <c r="H11" s="18"/>
    </row>
    <row r="12" spans="1:11" x14ac:dyDescent="0.35">
      <c r="A12" s="12"/>
      <c r="B12" s="12"/>
      <c r="C12" s="12"/>
      <c r="D12" s="12"/>
      <c r="E12" s="12"/>
      <c r="F12" s="12"/>
      <c r="G12" s="12"/>
      <c r="H12" s="12"/>
    </row>
    <row r="13" spans="1:11" x14ac:dyDescent="0.35">
      <c r="A13" s="13" t="s">
        <v>33</v>
      </c>
      <c r="B13" s="13"/>
      <c r="C13" s="13"/>
      <c r="D13" s="13"/>
      <c r="E13" s="13"/>
      <c r="F13" s="13"/>
      <c r="G13" s="13"/>
      <c r="H13" s="13"/>
    </row>
    <row r="14" spans="1:11" x14ac:dyDescent="0.35">
      <c r="A14" s="19"/>
      <c r="B14" s="20" t="s">
        <v>13</v>
      </c>
      <c r="C14" s="20" t="s">
        <v>14</v>
      </c>
      <c r="D14" s="20" t="s">
        <v>15</v>
      </c>
      <c r="E14" s="20" t="s">
        <v>16</v>
      </c>
      <c r="F14" s="20" t="s">
        <v>17</v>
      </c>
      <c r="G14" s="20" t="s">
        <v>18</v>
      </c>
      <c r="H14" s="12"/>
    </row>
    <row r="15" spans="1:11" x14ac:dyDescent="0.35">
      <c r="A15" s="14" t="s">
        <v>34</v>
      </c>
      <c r="B15" s="21">
        <v>24</v>
      </c>
      <c r="C15" s="21">
        <v>8</v>
      </c>
      <c r="D15" s="21">
        <v>22</v>
      </c>
      <c r="E15" s="21">
        <v>8</v>
      </c>
      <c r="F15" s="21">
        <v>13</v>
      </c>
      <c r="G15" s="21">
        <v>11</v>
      </c>
      <c r="H15" s="12"/>
    </row>
    <row r="16" spans="1:11" x14ac:dyDescent="0.35">
      <c r="A16" s="14" t="s">
        <v>4</v>
      </c>
      <c r="B16" s="22">
        <f>INT((B15-10)/2)</f>
        <v>7</v>
      </c>
      <c r="C16" s="22">
        <f t="shared" ref="C16:G16" si="0">INT((C15-10)/2)</f>
        <v>-1</v>
      </c>
      <c r="D16" s="22">
        <f t="shared" si="0"/>
        <v>6</v>
      </c>
      <c r="E16" s="22">
        <f t="shared" si="0"/>
        <v>-1</v>
      </c>
      <c r="F16" s="22">
        <f t="shared" si="0"/>
        <v>1</v>
      </c>
      <c r="G16" s="22">
        <f t="shared" si="0"/>
        <v>0</v>
      </c>
      <c r="H16" s="12"/>
    </row>
    <row r="17" spans="1:8" x14ac:dyDescent="0.35">
      <c r="A17" s="14" t="s">
        <v>35</v>
      </c>
      <c r="B17" s="21" t="s">
        <v>36</v>
      </c>
      <c r="C17" s="23"/>
      <c r="D17" s="21" t="s">
        <v>36</v>
      </c>
      <c r="E17" s="23"/>
      <c r="F17" s="21" t="s">
        <v>36</v>
      </c>
      <c r="G17" s="23"/>
      <c r="H17" s="12"/>
    </row>
    <row r="18" spans="1:8" x14ac:dyDescent="0.35">
      <c r="A18" s="14" t="s">
        <v>37</v>
      </c>
      <c r="B18" s="22">
        <f>B16+IF(B17="Y",$B$10,0)</f>
        <v>11</v>
      </c>
      <c r="C18" s="22">
        <f t="shared" ref="C18:G18" si="1">C16+IF(C17="Y",$B$10,0)</f>
        <v>-1</v>
      </c>
      <c r="D18" s="22">
        <f t="shared" si="1"/>
        <v>10</v>
      </c>
      <c r="E18" s="22">
        <f t="shared" si="1"/>
        <v>-1</v>
      </c>
      <c r="F18" s="22">
        <f t="shared" si="1"/>
        <v>5</v>
      </c>
      <c r="G18" s="22">
        <f t="shared" si="1"/>
        <v>0</v>
      </c>
      <c r="H18" s="12"/>
    </row>
    <row r="19" spans="1:8" x14ac:dyDescent="0.35">
      <c r="A19" s="12"/>
      <c r="B19" s="12"/>
      <c r="C19" s="12"/>
      <c r="D19" s="12"/>
      <c r="E19" s="12"/>
      <c r="F19" s="12"/>
      <c r="G19" s="12"/>
      <c r="H19" s="12"/>
    </row>
    <row r="20" spans="1:8" x14ac:dyDescent="0.35">
      <c r="A20" s="13" t="s">
        <v>38</v>
      </c>
      <c r="B20" s="13"/>
      <c r="C20" s="13"/>
      <c r="D20" s="13"/>
      <c r="E20" s="13"/>
      <c r="F20" s="13"/>
      <c r="G20" s="13"/>
      <c r="H20" s="13"/>
    </row>
    <row r="21" spans="1:8" x14ac:dyDescent="0.35">
      <c r="A21" s="14" t="s">
        <v>39</v>
      </c>
      <c r="B21" s="15" t="s">
        <v>40</v>
      </c>
      <c r="C21" s="15"/>
      <c r="D21" s="15"/>
      <c r="E21" s="15"/>
      <c r="F21" s="15"/>
      <c r="G21" s="15"/>
      <c r="H21" s="15"/>
    </row>
    <row r="22" spans="1:8" x14ac:dyDescent="0.35">
      <c r="A22" s="14" t="s">
        <v>41</v>
      </c>
      <c r="B22" s="15" t="s">
        <v>42</v>
      </c>
      <c r="C22" s="15"/>
      <c r="D22" s="15"/>
      <c r="E22" s="15"/>
      <c r="F22" s="15"/>
      <c r="G22" s="15"/>
      <c r="H22" s="15"/>
    </row>
    <row r="23" spans="1:8" x14ac:dyDescent="0.35">
      <c r="A23" s="14" t="s">
        <v>43</v>
      </c>
      <c r="B23" s="15" t="s">
        <v>44</v>
      </c>
      <c r="C23" s="15"/>
      <c r="D23" s="15"/>
      <c r="E23" s="15"/>
      <c r="F23" s="15"/>
      <c r="G23" s="15"/>
      <c r="H23" s="15"/>
    </row>
    <row r="24" spans="1:8" x14ac:dyDescent="0.35">
      <c r="A24" s="14" t="s">
        <v>45</v>
      </c>
      <c r="B24" s="15" t="s">
        <v>46</v>
      </c>
      <c r="C24" s="15"/>
      <c r="D24" s="15"/>
      <c r="E24" s="15"/>
      <c r="F24" s="15"/>
      <c r="G24" s="15"/>
      <c r="H24" s="15"/>
    </row>
    <row r="25" spans="1:8" x14ac:dyDescent="0.35">
      <c r="A25" s="12"/>
      <c r="B25" s="12"/>
      <c r="C25" s="12"/>
      <c r="D25" s="12"/>
      <c r="E25" s="12"/>
      <c r="F25" s="12"/>
      <c r="G25" s="12"/>
      <c r="H25" s="12"/>
    </row>
    <row r="26" spans="1:8" x14ac:dyDescent="0.35">
      <c r="A26" s="13" t="s">
        <v>47</v>
      </c>
      <c r="B26" s="13"/>
      <c r="C26" s="13"/>
      <c r="D26" s="13"/>
      <c r="E26" s="13"/>
      <c r="F26" s="13"/>
      <c r="G26" s="13"/>
      <c r="H26" s="13"/>
    </row>
    <row r="27" spans="1:8" x14ac:dyDescent="0.35">
      <c r="A27" s="24" t="s">
        <v>0</v>
      </c>
      <c r="B27" s="25" t="s">
        <v>20</v>
      </c>
      <c r="C27" s="20" t="s">
        <v>48</v>
      </c>
      <c r="D27" s="24" t="s">
        <v>49</v>
      </c>
      <c r="E27" s="24" t="s">
        <v>50</v>
      </c>
      <c r="F27" s="24" t="s">
        <v>51</v>
      </c>
      <c r="G27" s="26" t="s">
        <v>52</v>
      </c>
      <c r="H27" s="27"/>
    </row>
    <row r="28" spans="1:8" x14ac:dyDescent="0.35">
      <c r="A28" s="28" t="s">
        <v>53</v>
      </c>
      <c r="B28" s="29" t="s">
        <v>54</v>
      </c>
      <c r="C28" s="30">
        <v>11</v>
      </c>
      <c r="D28" s="29" t="s">
        <v>55</v>
      </c>
      <c r="E28" s="29" t="s">
        <v>56</v>
      </c>
      <c r="F28" s="29" t="s">
        <v>57</v>
      </c>
      <c r="G28" s="15" t="s">
        <v>58</v>
      </c>
      <c r="H28" s="15"/>
    </row>
    <row r="29" spans="1:8" ht="29" x14ac:dyDescent="0.35">
      <c r="A29" s="28" t="s">
        <v>2</v>
      </c>
      <c r="B29" s="29" t="s">
        <v>59</v>
      </c>
      <c r="C29" s="30">
        <v>11</v>
      </c>
      <c r="D29" s="29" t="s">
        <v>60</v>
      </c>
      <c r="E29" s="29" t="s">
        <v>61</v>
      </c>
      <c r="F29" s="29" t="s">
        <v>57</v>
      </c>
      <c r="G29" s="15" t="s">
        <v>62</v>
      </c>
      <c r="H29" s="15"/>
    </row>
    <row r="30" spans="1:8" x14ac:dyDescent="0.35">
      <c r="A30" s="12"/>
      <c r="B30" s="12"/>
      <c r="C30" s="12"/>
      <c r="D30" s="12"/>
      <c r="E30" s="12"/>
      <c r="F30" s="12"/>
      <c r="G30" s="12"/>
      <c r="H30" s="12"/>
    </row>
    <row r="31" spans="1:8" x14ac:dyDescent="0.35">
      <c r="A31" s="13" t="s">
        <v>63</v>
      </c>
      <c r="B31" s="13"/>
      <c r="C31" s="13"/>
      <c r="D31" s="13"/>
      <c r="E31" s="13"/>
      <c r="F31" s="13"/>
      <c r="G31" s="13"/>
      <c r="H31" s="13"/>
    </row>
    <row r="32" spans="1:8" x14ac:dyDescent="0.35">
      <c r="A32" s="24" t="s">
        <v>0</v>
      </c>
      <c r="B32" s="26" t="s">
        <v>64</v>
      </c>
      <c r="C32" s="26"/>
      <c r="D32" s="26"/>
      <c r="E32" s="26"/>
      <c r="F32" s="26"/>
      <c r="G32" s="26"/>
      <c r="H32" s="26"/>
    </row>
    <row r="33" spans="1:8" x14ac:dyDescent="0.35">
      <c r="A33" s="28" t="s">
        <v>65</v>
      </c>
      <c r="B33" s="15" t="s">
        <v>66</v>
      </c>
      <c r="C33" s="15"/>
      <c r="D33" s="15"/>
      <c r="E33" s="15"/>
      <c r="F33" s="15"/>
      <c r="G33" s="15"/>
      <c r="H33" s="15"/>
    </row>
    <row r="34" spans="1:8" x14ac:dyDescent="0.35">
      <c r="A34" s="28" t="s">
        <v>67</v>
      </c>
      <c r="B34" s="15" t="s">
        <v>68</v>
      </c>
      <c r="C34" s="15"/>
      <c r="D34" s="15"/>
      <c r="E34" s="15"/>
      <c r="F34" s="15"/>
      <c r="G34" s="15"/>
      <c r="H34" s="15"/>
    </row>
    <row r="35" spans="1:8" ht="29" x14ac:dyDescent="0.35">
      <c r="A35" s="28" t="s">
        <v>69</v>
      </c>
      <c r="B35" s="15" t="s">
        <v>70</v>
      </c>
      <c r="C35" s="15"/>
      <c r="D35" s="15"/>
      <c r="E35" s="15"/>
      <c r="F35" s="15"/>
      <c r="G35" s="15"/>
      <c r="H35" s="15"/>
    </row>
    <row r="36" spans="1:8" x14ac:dyDescent="0.35">
      <c r="A36" s="28" t="s">
        <v>71</v>
      </c>
      <c r="B36" s="15" t="s">
        <v>72</v>
      </c>
      <c r="C36" s="15"/>
      <c r="D36" s="15"/>
      <c r="E36" s="15"/>
      <c r="F36" s="15"/>
      <c r="G36" s="15"/>
      <c r="H36" s="15"/>
    </row>
    <row r="37" spans="1:8" x14ac:dyDescent="0.35">
      <c r="A37" s="12"/>
      <c r="B37" s="12"/>
      <c r="C37" s="12"/>
      <c r="D37" s="12"/>
      <c r="E37" s="12"/>
      <c r="F37" s="12"/>
      <c r="G37" s="12"/>
      <c r="H37" s="12"/>
    </row>
    <row r="38" spans="1:8" x14ac:dyDescent="0.35">
      <c r="A38" s="13" t="s">
        <v>73</v>
      </c>
      <c r="B38" s="13"/>
      <c r="C38" s="13"/>
      <c r="D38" s="13"/>
      <c r="E38" s="13"/>
      <c r="F38" s="13"/>
      <c r="G38" s="13"/>
      <c r="H38" s="13"/>
    </row>
    <row r="39" spans="1:8" x14ac:dyDescent="0.35">
      <c r="A39" s="25" t="s">
        <v>0</v>
      </c>
      <c r="B39" s="25" t="s">
        <v>74</v>
      </c>
      <c r="C39" s="24" t="s">
        <v>51</v>
      </c>
      <c r="D39" s="26" t="s">
        <v>64</v>
      </c>
      <c r="E39" s="27"/>
      <c r="F39" s="27"/>
      <c r="G39" s="27"/>
      <c r="H39" s="27"/>
    </row>
    <row r="40" spans="1:8" x14ac:dyDescent="0.35">
      <c r="A40" s="28" t="s">
        <v>75</v>
      </c>
      <c r="B40" s="21" t="s">
        <v>76</v>
      </c>
      <c r="C40" s="21" t="s">
        <v>76</v>
      </c>
      <c r="D40" s="15" t="s">
        <v>77</v>
      </c>
      <c r="E40" s="15"/>
      <c r="F40" s="15"/>
      <c r="G40" s="15"/>
      <c r="H40" s="15"/>
    </row>
    <row r="41" spans="1:8" x14ac:dyDescent="0.35">
      <c r="A41" s="28" t="s">
        <v>3</v>
      </c>
      <c r="B41" s="21" t="s">
        <v>78</v>
      </c>
      <c r="C41" s="21" t="s">
        <v>57</v>
      </c>
      <c r="D41" s="15" t="s">
        <v>79</v>
      </c>
      <c r="E41" s="15"/>
      <c r="F41" s="15"/>
      <c r="G41" s="15"/>
      <c r="H41" s="15"/>
    </row>
    <row r="42" spans="1:8" x14ac:dyDescent="0.35">
      <c r="A42" s="12"/>
      <c r="B42" s="12"/>
      <c r="C42" s="12"/>
      <c r="D42" s="12"/>
      <c r="E42" s="12"/>
      <c r="F42" s="12"/>
      <c r="G42" s="12"/>
      <c r="H42" s="12"/>
    </row>
    <row r="43" spans="1:8" x14ac:dyDescent="0.35">
      <c r="A43" s="13" t="s">
        <v>80</v>
      </c>
      <c r="B43" s="13"/>
      <c r="C43" s="13"/>
      <c r="D43" s="13"/>
      <c r="E43" s="13"/>
      <c r="F43" s="13"/>
      <c r="G43" s="13"/>
      <c r="H43" s="13"/>
    </row>
    <row r="44" spans="1:8" x14ac:dyDescent="0.35">
      <c r="A44" s="25" t="s">
        <v>0</v>
      </c>
      <c r="B44" s="24" t="s">
        <v>74</v>
      </c>
      <c r="C44" s="24" t="s">
        <v>51</v>
      </c>
      <c r="D44" s="26" t="s">
        <v>64</v>
      </c>
      <c r="E44" s="27"/>
      <c r="F44" s="27"/>
      <c r="G44" s="27"/>
      <c r="H44" s="27"/>
    </row>
    <row r="45" spans="1:8" x14ac:dyDescent="0.35">
      <c r="A45" s="28" t="s">
        <v>81</v>
      </c>
      <c r="B45" s="21" t="s">
        <v>76</v>
      </c>
      <c r="C45" s="21" t="s">
        <v>82</v>
      </c>
      <c r="D45" s="15" t="s">
        <v>83</v>
      </c>
      <c r="E45" s="15"/>
      <c r="F45" s="15"/>
      <c r="G45" s="15"/>
      <c r="H45" s="15"/>
    </row>
    <row r="46" spans="1:8" x14ac:dyDescent="0.35">
      <c r="A46" s="28" t="s">
        <v>84</v>
      </c>
      <c r="B46" s="21" t="s">
        <v>85</v>
      </c>
      <c r="C46" s="21" t="s">
        <v>76</v>
      </c>
      <c r="D46" s="15" t="s">
        <v>86</v>
      </c>
      <c r="E46" s="15"/>
      <c r="F46" s="15"/>
      <c r="G46" s="15"/>
      <c r="H46" s="15"/>
    </row>
    <row r="47" spans="1:8" x14ac:dyDescent="0.35">
      <c r="A47" s="12"/>
      <c r="B47" s="12"/>
      <c r="C47" s="12"/>
      <c r="D47" s="12"/>
      <c r="E47" s="12"/>
      <c r="F47" s="12"/>
      <c r="G47" s="12"/>
      <c r="H47" s="12"/>
    </row>
    <row r="48" spans="1:8" x14ac:dyDescent="0.35">
      <c r="A48" s="13" t="s">
        <v>87</v>
      </c>
      <c r="B48" s="13"/>
      <c r="C48" s="13"/>
      <c r="D48" s="13"/>
      <c r="E48" s="13"/>
      <c r="F48" s="13"/>
      <c r="G48" s="13"/>
      <c r="H48" s="13"/>
    </row>
    <row r="49" spans="1:8" x14ac:dyDescent="0.35">
      <c r="A49" s="25" t="s">
        <v>0</v>
      </c>
      <c r="B49" s="24" t="s">
        <v>88</v>
      </c>
      <c r="C49" s="24" t="s">
        <v>51</v>
      </c>
      <c r="D49" s="26" t="s">
        <v>64</v>
      </c>
      <c r="E49" s="27"/>
      <c r="F49" s="27"/>
      <c r="G49" s="27"/>
      <c r="H49" s="27"/>
    </row>
    <row r="50" spans="1:8" ht="58" x14ac:dyDescent="0.35">
      <c r="A50" s="28" t="s">
        <v>89</v>
      </c>
      <c r="B50" s="29" t="s">
        <v>90</v>
      </c>
      <c r="C50" s="21" t="s">
        <v>82</v>
      </c>
      <c r="D50" s="15" t="s">
        <v>91</v>
      </c>
      <c r="E50" s="15"/>
      <c r="F50" s="15"/>
      <c r="G50" s="15"/>
      <c r="H50" s="15"/>
    </row>
    <row r="51" spans="1:8" x14ac:dyDescent="0.35">
      <c r="A51" s="12"/>
      <c r="B51" s="12"/>
      <c r="C51" s="12"/>
      <c r="D51" s="12"/>
      <c r="E51" s="12"/>
      <c r="F51" s="12"/>
      <c r="G51" s="12"/>
      <c r="H51" s="12"/>
    </row>
    <row r="52" spans="1:8" x14ac:dyDescent="0.35">
      <c r="A52" s="13" t="s">
        <v>92</v>
      </c>
      <c r="B52" s="13"/>
      <c r="C52" s="13"/>
      <c r="D52" s="13"/>
      <c r="E52" s="13"/>
      <c r="F52" s="13"/>
      <c r="G52" s="13"/>
      <c r="H52" s="13"/>
    </row>
    <row r="53" spans="1:8" x14ac:dyDescent="0.35">
      <c r="A53" s="25" t="s">
        <v>0</v>
      </c>
      <c r="B53" s="24" t="s">
        <v>88</v>
      </c>
      <c r="C53" s="24" t="s">
        <v>51</v>
      </c>
      <c r="D53" s="26" t="s">
        <v>64</v>
      </c>
      <c r="E53" s="27"/>
      <c r="F53" s="27"/>
      <c r="G53" s="27"/>
      <c r="H53" s="27"/>
    </row>
    <row r="54" spans="1:8" ht="29" x14ac:dyDescent="0.35">
      <c r="A54" s="28" t="s">
        <v>93</v>
      </c>
      <c r="B54" s="29" t="s">
        <v>94</v>
      </c>
      <c r="C54" s="21" t="s">
        <v>76</v>
      </c>
      <c r="D54" s="15" t="s">
        <v>95</v>
      </c>
      <c r="E54" s="15"/>
      <c r="F54" s="15"/>
      <c r="G54" s="15"/>
      <c r="H54" s="15"/>
    </row>
  </sheetData>
  <mergeCells count="40">
    <mergeCell ref="A48:H48"/>
    <mergeCell ref="A52:H52"/>
    <mergeCell ref="D49:H49"/>
    <mergeCell ref="D50:H50"/>
    <mergeCell ref="D53:H53"/>
    <mergeCell ref="D54:H54"/>
    <mergeCell ref="A1:H1"/>
    <mergeCell ref="A13:H13"/>
    <mergeCell ref="A20:H20"/>
    <mergeCell ref="A26:H26"/>
    <mergeCell ref="A31:H31"/>
    <mergeCell ref="A38:H38"/>
    <mergeCell ref="D39:H39"/>
    <mergeCell ref="D40:H40"/>
    <mergeCell ref="D41:H41"/>
    <mergeCell ref="D44:H44"/>
    <mergeCell ref="D45:H45"/>
    <mergeCell ref="D46:H46"/>
    <mergeCell ref="A43:H43"/>
    <mergeCell ref="B24:H24"/>
    <mergeCell ref="B32:H32"/>
    <mergeCell ref="B33:H33"/>
    <mergeCell ref="B34:H34"/>
    <mergeCell ref="B35:H35"/>
    <mergeCell ref="B36:H36"/>
    <mergeCell ref="G27:H27"/>
    <mergeCell ref="G28:H28"/>
    <mergeCell ref="G29:H29"/>
    <mergeCell ref="B9:H9"/>
    <mergeCell ref="B10:H10"/>
    <mergeCell ref="B11:H11"/>
    <mergeCell ref="B21:H21"/>
    <mergeCell ref="B22:H22"/>
    <mergeCell ref="B23:H23"/>
    <mergeCell ref="B3:H3"/>
    <mergeCell ref="B4:H4"/>
    <mergeCell ref="B5:H5"/>
    <mergeCell ref="B6:H6"/>
    <mergeCell ref="B7:H7"/>
    <mergeCell ref="B8:H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770B-8A71-493B-AC8C-A14548579752}">
  <dimension ref="A1:K54"/>
  <sheetViews>
    <sheetView topLeftCell="B30" workbookViewId="0">
      <selection activeCell="I21" sqref="I21"/>
    </sheetView>
  </sheetViews>
  <sheetFormatPr defaultRowHeight="14.5" x14ac:dyDescent="0.35"/>
  <cols>
    <col min="1" max="1" width="30" customWidth="1"/>
    <col min="2" max="8" width="16.7265625" customWidth="1"/>
  </cols>
  <sheetData>
    <row r="1" spans="1:11" ht="18.5" x14ac:dyDescent="0.35">
      <c r="A1" s="11" t="s">
        <v>21</v>
      </c>
      <c r="B1" s="11"/>
      <c r="C1" s="11"/>
      <c r="D1" s="11"/>
      <c r="E1" s="11"/>
      <c r="F1" s="11"/>
      <c r="G1" s="11"/>
      <c r="H1" s="11"/>
      <c r="J1" s="34" t="s">
        <v>145</v>
      </c>
    </row>
    <row r="2" spans="1:11" x14ac:dyDescent="0.35">
      <c r="A2" s="12"/>
      <c r="B2" s="12"/>
      <c r="C2" s="12"/>
      <c r="D2" s="12"/>
      <c r="E2" s="12"/>
      <c r="F2" s="12"/>
      <c r="G2" s="12"/>
      <c r="H2" s="12"/>
      <c r="J2" s="4" t="s">
        <v>146</v>
      </c>
      <c r="K2" s="6">
        <v>3</v>
      </c>
    </row>
    <row r="3" spans="1:11" x14ac:dyDescent="0.35">
      <c r="A3" s="14" t="s">
        <v>0</v>
      </c>
      <c r="B3" s="15" t="s">
        <v>9</v>
      </c>
      <c r="C3" s="15"/>
      <c r="D3" s="15"/>
      <c r="E3" s="15"/>
      <c r="F3" s="15"/>
      <c r="G3" s="15"/>
      <c r="H3" s="15"/>
      <c r="J3" s="3" t="s">
        <v>147</v>
      </c>
    </row>
    <row r="4" spans="1:11" x14ac:dyDescent="0.35">
      <c r="A4" s="14" t="s">
        <v>22</v>
      </c>
      <c r="B4" s="15" t="s">
        <v>96</v>
      </c>
      <c r="C4" s="15"/>
      <c r="D4" s="15"/>
      <c r="E4" s="15"/>
      <c r="F4" s="15"/>
      <c r="G4" s="15"/>
      <c r="H4" s="15"/>
    </row>
    <row r="5" spans="1:11" x14ac:dyDescent="0.35">
      <c r="A5" s="14" t="s">
        <v>24</v>
      </c>
      <c r="B5" s="15" t="s">
        <v>97</v>
      </c>
      <c r="C5" s="15"/>
      <c r="D5" s="15"/>
      <c r="E5" s="15"/>
      <c r="F5" s="15"/>
      <c r="G5" s="15"/>
      <c r="H5" s="15"/>
    </row>
    <row r="6" spans="1:11" x14ac:dyDescent="0.35">
      <c r="A6" s="14" t="s">
        <v>26</v>
      </c>
      <c r="B6" s="15" t="s">
        <v>98</v>
      </c>
      <c r="C6" s="15"/>
      <c r="D6" s="15"/>
      <c r="E6" s="15"/>
      <c r="F6" s="15"/>
      <c r="G6" s="15"/>
      <c r="H6" s="15"/>
    </row>
    <row r="7" spans="1:11" x14ac:dyDescent="0.35">
      <c r="A7" s="14" t="s">
        <v>19</v>
      </c>
      <c r="B7" s="16">
        <v>17</v>
      </c>
      <c r="C7" s="16"/>
      <c r="D7" s="16"/>
      <c r="E7" s="16"/>
      <c r="F7" s="16"/>
      <c r="G7" s="16"/>
      <c r="H7" s="16"/>
    </row>
    <row r="8" spans="1:11" x14ac:dyDescent="0.35">
      <c r="A8" s="14" t="s">
        <v>28</v>
      </c>
      <c r="B8" s="16">
        <v>240</v>
      </c>
      <c r="C8" s="16"/>
      <c r="D8" s="16"/>
      <c r="E8" s="16"/>
      <c r="F8" s="16"/>
      <c r="G8" s="16"/>
      <c r="H8" s="16"/>
    </row>
    <row r="9" spans="1:11" x14ac:dyDescent="0.35">
      <c r="A9" s="14" t="s">
        <v>29</v>
      </c>
      <c r="B9" s="15" t="s">
        <v>99</v>
      </c>
      <c r="C9" s="15"/>
      <c r="D9" s="15"/>
      <c r="E9" s="15"/>
      <c r="F9" s="15"/>
      <c r="G9" s="15"/>
      <c r="H9" s="15"/>
    </row>
    <row r="10" spans="1:11" x14ac:dyDescent="0.35">
      <c r="A10" s="14" t="s">
        <v>31</v>
      </c>
      <c r="B10" s="17">
        <v>4</v>
      </c>
      <c r="C10" s="17"/>
      <c r="D10" s="17"/>
      <c r="E10" s="17"/>
      <c r="F10" s="17"/>
      <c r="G10" s="17"/>
      <c r="H10" s="17"/>
    </row>
    <row r="11" spans="1:11" x14ac:dyDescent="0.35">
      <c r="A11" s="14" t="s">
        <v>32</v>
      </c>
      <c r="B11" s="18">
        <f>C16</f>
        <v>6</v>
      </c>
      <c r="C11" s="18"/>
      <c r="D11" s="18"/>
      <c r="E11" s="18"/>
      <c r="F11" s="18"/>
      <c r="G11" s="18"/>
      <c r="H11" s="18"/>
    </row>
    <row r="12" spans="1:11" x14ac:dyDescent="0.35">
      <c r="A12" s="12"/>
      <c r="B12" s="12"/>
      <c r="C12" s="12"/>
      <c r="D12" s="12"/>
      <c r="E12" s="12"/>
      <c r="F12" s="12"/>
      <c r="G12" s="12"/>
      <c r="H12" s="12"/>
    </row>
    <row r="13" spans="1:11" x14ac:dyDescent="0.35">
      <c r="A13" s="13" t="s">
        <v>33</v>
      </c>
      <c r="B13" s="13"/>
      <c r="C13" s="13"/>
      <c r="D13" s="13"/>
      <c r="E13" s="13"/>
      <c r="F13" s="13"/>
      <c r="G13" s="13"/>
      <c r="H13" s="13"/>
    </row>
    <row r="14" spans="1:11" x14ac:dyDescent="0.35">
      <c r="A14" s="19"/>
      <c r="B14" s="20" t="s">
        <v>13</v>
      </c>
      <c r="C14" s="20" t="s">
        <v>14</v>
      </c>
      <c r="D14" s="20" t="s">
        <v>15</v>
      </c>
      <c r="E14" s="20" t="s">
        <v>16</v>
      </c>
      <c r="F14" s="20" t="s">
        <v>17</v>
      </c>
      <c r="G14" s="20" t="s">
        <v>18</v>
      </c>
      <c r="H14" s="12"/>
    </row>
    <row r="15" spans="1:11" x14ac:dyDescent="0.35">
      <c r="A15" s="14" t="s">
        <v>34</v>
      </c>
      <c r="B15" s="21">
        <v>12</v>
      </c>
      <c r="C15" s="21">
        <v>22</v>
      </c>
      <c r="D15" s="21">
        <v>20</v>
      </c>
      <c r="E15" s="21">
        <v>10</v>
      </c>
      <c r="F15" s="21">
        <v>14</v>
      </c>
      <c r="G15" s="21">
        <v>16</v>
      </c>
      <c r="H15" s="12"/>
    </row>
    <row r="16" spans="1:11" x14ac:dyDescent="0.35">
      <c r="A16" s="14" t="s">
        <v>4</v>
      </c>
      <c r="B16" s="22">
        <f>INT((B15-10)/2)</f>
        <v>1</v>
      </c>
      <c r="C16" s="22">
        <f t="shared" ref="C16:G16" si="0">INT((C15-10)/2)</f>
        <v>6</v>
      </c>
      <c r="D16" s="22">
        <f t="shared" si="0"/>
        <v>5</v>
      </c>
      <c r="E16" s="22">
        <f t="shared" si="0"/>
        <v>0</v>
      </c>
      <c r="F16" s="22">
        <f t="shared" si="0"/>
        <v>2</v>
      </c>
      <c r="G16" s="22">
        <f t="shared" si="0"/>
        <v>3</v>
      </c>
      <c r="H16" s="12"/>
    </row>
    <row r="17" spans="1:8" x14ac:dyDescent="0.35">
      <c r="A17" s="14" t="s">
        <v>35</v>
      </c>
      <c r="B17" s="21"/>
      <c r="C17" s="21" t="s">
        <v>36</v>
      </c>
      <c r="D17" s="21" t="s">
        <v>36</v>
      </c>
      <c r="E17" s="23"/>
      <c r="F17" s="21"/>
      <c r="G17" s="21" t="s">
        <v>36</v>
      </c>
      <c r="H17" s="12"/>
    </row>
    <row r="18" spans="1:8" x14ac:dyDescent="0.35">
      <c r="A18" s="14" t="s">
        <v>37</v>
      </c>
      <c r="B18" s="22">
        <f>B16+IF(B17="Y",$B$10,0)</f>
        <v>1</v>
      </c>
      <c r="C18" s="22">
        <f t="shared" ref="C18:G18" si="1">C16+IF(C17="Y",$B$10,0)</f>
        <v>10</v>
      </c>
      <c r="D18" s="22">
        <f t="shared" si="1"/>
        <v>9</v>
      </c>
      <c r="E18" s="22">
        <f t="shared" si="1"/>
        <v>0</v>
      </c>
      <c r="F18" s="22">
        <f t="shared" si="1"/>
        <v>2</v>
      </c>
      <c r="G18" s="22">
        <f t="shared" si="1"/>
        <v>7</v>
      </c>
      <c r="H18" s="12"/>
    </row>
    <row r="19" spans="1:8" x14ac:dyDescent="0.35">
      <c r="A19" s="12"/>
      <c r="B19" s="12"/>
      <c r="C19" s="12"/>
      <c r="D19" s="12"/>
      <c r="E19" s="12"/>
      <c r="F19" s="12"/>
      <c r="G19" s="12"/>
      <c r="H19" s="12"/>
    </row>
    <row r="20" spans="1:8" x14ac:dyDescent="0.35">
      <c r="A20" s="13" t="s">
        <v>38</v>
      </c>
      <c r="B20" s="13"/>
      <c r="C20" s="13"/>
      <c r="D20" s="13"/>
      <c r="E20" s="13"/>
      <c r="F20" s="13"/>
      <c r="G20" s="13"/>
      <c r="H20" s="13"/>
    </row>
    <row r="21" spans="1:8" x14ac:dyDescent="0.35">
      <c r="A21" s="14" t="s">
        <v>39</v>
      </c>
      <c r="B21" s="15" t="s">
        <v>40</v>
      </c>
      <c r="C21" s="15"/>
      <c r="D21" s="15"/>
      <c r="E21" s="15"/>
      <c r="F21" s="15"/>
      <c r="G21" s="15"/>
      <c r="H21" s="15"/>
    </row>
    <row r="22" spans="1:8" x14ac:dyDescent="0.35">
      <c r="A22" s="14" t="s">
        <v>41</v>
      </c>
      <c r="B22" s="15" t="s">
        <v>100</v>
      </c>
      <c r="C22" s="15"/>
      <c r="D22" s="15"/>
      <c r="E22" s="15"/>
      <c r="F22" s="15"/>
      <c r="G22" s="15"/>
      <c r="H22" s="15"/>
    </row>
    <row r="23" spans="1:8" ht="32" customHeight="1" x14ac:dyDescent="0.35">
      <c r="A23" s="14" t="s">
        <v>43</v>
      </c>
      <c r="B23" s="15" t="s">
        <v>101</v>
      </c>
      <c r="C23" s="15"/>
      <c r="D23" s="15"/>
      <c r="E23" s="15"/>
      <c r="F23" s="15"/>
      <c r="G23" s="15"/>
      <c r="H23" s="15"/>
    </row>
    <row r="24" spans="1:8" x14ac:dyDescent="0.35">
      <c r="A24" s="14" t="s">
        <v>45</v>
      </c>
      <c r="B24" s="15" t="s">
        <v>102</v>
      </c>
      <c r="C24" s="15"/>
      <c r="D24" s="15"/>
      <c r="E24" s="15"/>
      <c r="F24" s="15"/>
      <c r="G24" s="15"/>
      <c r="H24" s="15"/>
    </row>
    <row r="25" spans="1:8" x14ac:dyDescent="0.35">
      <c r="A25" s="12"/>
      <c r="B25" s="12"/>
      <c r="C25" s="12"/>
      <c r="D25" s="12"/>
      <c r="E25" s="12"/>
      <c r="F25" s="12"/>
      <c r="G25" s="12"/>
      <c r="H25" s="12"/>
    </row>
    <row r="26" spans="1:8" x14ac:dyDescent="0.35">
      <c r="A26" s="13" t="s">
        <v>47</v>
      </c>
      <c r="B26" s="13"/>
      <c r="C26" s="13"/>
      <c r="D26" s="13"/>
      <c r="E26" s="13"/>
      <c r="F26" s="13"/>
      <c r="G26" s="13"/>
      <c r="H26" s="13"/>
    </row>
    <row r="27" spans="1:8" x14ac:dyDescent="0.35">
      <c r="A27" s="24" t="s">
        <v>0</v>
      </c>
      <c r="B27" s="25" t="s">
        <v>20</v>
      </c>
      <c r="C27" s="20" t="s">
        <v>48</v>
      </c>
      <c r="D27" s="24" t="s">
        <v>49</v>
      </c>
      <c r="E27" s="24" t="s">
        <v>50</v>
      </c>
      <c r="F27" s="24" t="s">
        <v>51</v>
      </c>
      <c r="G27" s="26" t="s">
        <v>52</v>
      </c>
      <c r="H27" s="27"/>
    </row>
    <row r="28" spans="1:8" ht="84" customHeight="1" x14ac:dyDescent="0.35">
      <c r="A28" s="28" t="s">
        <v>103</v>
      </c>
      <c r="B28" s="29" t="s">
        <v>54</v>
      </c>
      <c r="C28" s="30">
        <v>10</v>
      </c>
      <c r="D28" s="29" t="s">
        <v>104</v>
      </c>
      <c r="E28" s="29" t="s">
        <v>105</v>
      </c>
      <c r="F28" s="29" t="s">
        <v>76</v>
      </c>
      <c r="G28" s="15" t="s">
        <v>106</v>
      </c>
      <c r="H28" s="15"/>
    </row>
    <row r="29" spans="1:8" ht="50" customHeight="1" x14ac:dyDescent="0.35">
      <c r="A29" s="28" t="s">
        <v>107</v>
      </c>
      <c r="B29" s="29" t="s">
        <v>108</v>
      </c>
      <c r="C29" s="30">
        <v>10</v>
      </c>
      <c r="D29" s="29" t="s">
        <v>109</v>
      </c>
      <c r="E29" s="29" t="s">
        <v>110</v>
      </c>
      <c r="F29" s="29" t="s">
        <v>76</v>
      </c>
      <c r="G29" s="15" t="s">
        <v>111</v>
      </c>
      <c r="H29" s="15"/>
    </row>
    <row r="30" spans="1:8" x14ac:dyDescent="0.35">
      <c r="A30" s="12"/>
      <c r="B30" s="12"/>
      <c r="C30" s="12"/>
      <c r="D30" s="12"/>
      <c r="E30" s="12"/>
      <c r="F30" s="12"/>
      <c r="G30" s="12"/>
      <c r="H30" s="12"/>
    </row>
    <row r="31" spans="1:8" x14ac:dyDescent="0.35">
      <c r="A31" s="13" t="s">
        <v>63</v>
      </c>
      <c r="B31" s="13"/>
      <c r="C31" s="13"/>
      <c r="D31" s="13"/>
      <c r="E31" s="13"/>
      <c r="F31" s="13"/>
      <c r="G31" s="13"/>
      <c r="H31" s="13"/>
    </row>
    <row r="32" spans="1:8" x14ac:dyDescent="0.35">
      <c r="A32" s="24" t="s">
        <v>0</v>
      </c>
      <c r="B32" s="26" t="s">
        <v>64</v>
      </c>
      <c r="C32" s="26"/>
      <c r="D32" s="26"/>
      <c r="E32" s="26"/>
      <c r="F32" s="26"/>
      <c r="G32" s="26"/>
      <c r="H32" s="26"/>
    </row>
    <row r="33" spans="1:8" ht="52" customHeight="1" x14ac:dyDescent="0.35">
      <c r="A33" s="28" t="s">
        <v>112</v>
      </c>
      <c r="B33" s="15" t="s">
        <v>113</v>
      </c>
      <c r="C33" s="15"/>
      <c r="D33" s="15"/>
      <c r="E33" s="15"/>
      <c r="F33" s="15"/>
      <c r="G33" s="15"/>
      <c r="H33" s="15"/>
    </row>
    <row r="34" spans="1:8" x14ac:dyDescent="0.35">
      <c r="A34" s="28" t="s">
        <v>114</v>
      </c>
      <c r="B34" s="15" t="s">
        <v>115</v>
      </c>
      <c r="C34" s="15"/>
      <c r="D34" s="15"/>
      <c r="E34" s="15"/>
      <c r="F34" s="15"/>
      <c r="G34" s="15"/>
      <c r="H34" s="15"/>
    </row>
    <row r="35" spans="1:8" ht="34" customHeight="1" x14ac:dyDescent="0.35">
      <c r="A35" s="28" t="s">
        <v>116</v>
      </c>
      <c r="B35" s="15" t="s">
        <v>117</v>
      </c>
      <c r="C35" s="15"/>
      <c r="D35" s="15"/>
      <c r="E35" s="15"/>
      <c r="F35" s="15"/>
      <c r="G35" s="15"/>
      <c r="H35" s="15"/>
    </row>
    <row r="36" spans="1:8" x14ac:dyDescent="0.35">
      <c r="A36" s="28" t="s">
        <v>71</v>
      </c>
      <c r="B36" s="15" t="s">
        <v>118</v>
      </c>
      <c r="C36" s="15"/>
      <c r="D36" s="15"/>
      <c r="E36" s="15"/>
      <c r="F36" s="15"/>
      <c r="G36" s="15"/>
      <c r="H36" s="15"/>
    </row>
    <row r="37" spans="1:8" x14ac:dyDescent="0.35">
      <c r="A37" s="12"/>
      <c r="B37" s="12"/>
      <c r="C37" s="12"/>
      <c r="D37" s="12"/>
      <c r="E37" s="12"/>
      <c r="F37" s="12"/>
      <c r="G37" s="12"/>
      <c r="H37" s="12"/>
    </row>
    <row r="38" spans="1:8" x14ac:dyDescent="0.35">
      <c r="A38" s="13" t="s">
        <v>73</v>
      </c>
      <c r="B38" s="13"/>
      <c r="C38" s="13"/>
      <c r="D38" s="13"/>
      <c r="E38" s="13"/>
      <c r="F38" s="13"/>
      <c r="G38" s="13"/>
      <c r="H38" s="13"/>
    </row>
    <row r="39" spans="1:8" x14ac:dyDescent="0.35">
      <c r="A39" s="25" t="s">
        <v>0</v>
      </c>
      <c r="B39" s="25" t="s">
        <v>74</v>
      </c>
      <c r="C39" s="24" t="s">
        <v>51</v>
      </c>
      <c r="D39" s="26" t="s">
        <v>64</v>
      </c>
      <c r="E39" s="27"/>
      <c r="F39" s="27"/>
      <c r="G39" s="27"/>
      <c r="H39" s="27"/>
    </row>
    <row r="40" spans="1:8" x14ac:dyDescent="0.35">
      <c r="A40" s="28" t="s">
        <v>75</v>
      </c>
      <c r="B40" s="21" t="s">
        <v>76</v>
      </c>
      <c r="C40" s="21" t="s">
        <v>76</v>
      </c>
      <c r="D40" s="15" t="s">
        <v>119</v>
      </c>
      <c r="E40" s="15"/>
      <c r="F40" s="15"/>
      <c r="G40" s="15"/>
      <c r="H40" s="15"/>
    </row>
    <row r="41" spans="1:8" ht="66" customHeight="1" x14ac:dyDescent="0.35">
      <c r="A41" s="28" t="s">
        <v>120</v>
      </c>
      <c r="B41" s="21" t="s">
        <v>121</v>
      </c>
      <c r="C41" s="21" t="s">
        <v>122</v>
      </c>
      <c r="D41" s="15" t="s">
        <v>123</v>
      </c>
      <c r="E41" s="15"/>
      <c r="F41" s="15"/>
      <c r="G41" s="15"/>
      <c r="H41" s="15"/>
    </row>
    <row r="42" spans="1:8" ht="66" customHeight="1" x14ac:dyDescent="0.35">
      <c r="A42" s="28" t="s">
        <v>124</v>
      </c>
      <c r="B42" s="21" t="s">
        <v>78</v>
      </c>
      <c r="C42" s="21" t="s">
        <v>76</v>
      </c>
      <c r="D42" s="31" t="s">
        <v>125</v>
      </c>
      <c r="E42" s="32"/>
      <c r="F42" s="32"/>
      <c r="G42" s="32"/>
      <c r="H42" s="33"/>
    </row>
    <row r="43" spans="1:8" x14ac:dyDescent="0.35">
      <c r="A43" s="12"/>
      <c r="B43" s="12"/>
      <c r="C43" s="12"/>
      <c r="D43" s="12"/>
      <c r="E43" s="12"/>
      <c r="F43" s="12"/>
      <c r="G43" s="12"/>
      <c r="H43" s="12"/>
    </row>
    <row r="44" spans="1:8" x14ac:dyDescent="0.35">
      <c r="A44" s="13" t="s">
        <v>80</v>
      </c>
      <c r="B44" s="13"/>
      <c r="C44" s="13"/>
      <c r="D44" s="13"/>
      <c r="E44" s="13"/>
      <c r="F44" s="13"/>
      <c r="G44" s="13"/>
      <c r="H44" s="13"/>
    </row>
    <row r="45" spans="1:8" x14ac:dyDescent="0.35">
      <c r="A45" s="25" t="s">
        <v>0</v>
      </c>
      <c r="B45" s="24" t="s">
        <v>74</v>
      </c>
      <c r="C45" s="24" t="s">
        <v>51</v>
      </c>
      <c r="D45" s="26" t="s">
        <v>64</v>
      </c>
      <c r="E45" s="27"/>
      <c r="F45" s="27"/>
      <c r="G45" s="27"/>
      <c r="H45" s="27"/>
    </row>
    <row r="46" spans="1:8" ht="82" customHeight="1" x14ac:dyDescent="0.35">
      <c r="A46" s="28" t="s">
        <v>126</v>
      </c>
      <c r="B46" s="21" t="s">
        <v>85</v>
      </c>
      <c r="C46" s="21" t="s">
        <v>76</v>
      </c>
      <c r="D46" s="15" t="s">
        <v>127</v>
      </c>
      <c r="E46" s="15"/>
      <c r="F46" s="15"/>
      <c r="G46" s="15"/>
      <c r="H46" s="15"/>
    </row>
    <row r="47" spans="1:8" x14ac:dyDescent="0.35">
      <c r="A47" s="12"/>
      <c r="B47" s="12"/>
      <c r="C47" s="12"/>
      <c r="D47" s="12"/>
      <c r="E47" s="12"/>
      <c r="F47" s="12"/>
      <c r="G47" s="12"/>
      <c r="H47" s="12"/>
    </row>
    <row r="48" spans="1:8" x14ac:dyDescent="0.35">
      <c r="A48" s="13" t="s">
        <v>87</v>
      </c>
      <c r="B48" s="13"/>
      <c r="C48" s="13"/>
      <c r="D48" s="13"/>
      <c r="E48" s="13"/>
      <c r="F48" s="13"/>
      <c r="G48" s="13"/>
      <c r="H48" s="13"/>
    </row>
    <row r="49" spans="1:8" x14ac:dyDescent="0.35">
      <c r="A49" s="25" t="s">
        <v>0</v>
      </c>
      <c r="B49" s="24" t="s">
        <v>88</v>
      </c>
      <c r="C49" s="24" t="s">
        <v>51</v>
      </c>
      <c r="D49" s="26" t="s">
        <v>64</v>
      </c>
      <c r="E49" s="27"/>
      <c r="F49" s="27"/>
      <c r="G49" s="27"/>
      <c r="H49" s="27"/>
    </row>
    <row r="50" spans="1:8" ht="43.5" x14ac:dyDescent="0.35">
      <c r="A50" s="28" t="s">
        <v>128</v>
      </c>
      <c r="B50" s="29" t="s">
        <v>129</v>
      </c>
      <c r="C50" s="21" t="s">
        <v>82</v>
      </c>
      <c r="D50" s="15" t="s">
        <v>130</v>
      </c>
      <c r="E50" s="15"/>
      <c r="F50" s="15"/>
      <c r="G50" s="15"/>
      <c r="H50" s="15"/>
    </row>
    <row r="51" spans="1:8" x14ac:dyDescent="0.35">
      <c r="A51" s="12"/>
      <c r="B51" s="12"/>
      <c r="C51" s="12"/>
      <c r="D51" s="12"/>
      <c r="E51" s="12"/>
      <c r="F51" s="12"/>
      <c r="G51" s="12"/>
      <c r="H51" s="12"/>
    </row>
    <row r="52" spans="1:8" x14ac:dyDescent="0.35">
      <c r="A52" s="13" t="s">
        <v>92</v>
      </c>
      <c r="B52" s="13"/>
      <c r="C52" s="13"/>
      <c r="D52" s="13"/>
      <c r="E52" s="13"/>
      <c r="F52" s="13"/>
      <c r="G52" s="13"/>
      <c r="H52" s="13"/>
    </row>
    <row r="53" spans="1:8" x14ac:dyDescent="0.35">
      <c r="A53" s="25" t="s">
        <v>0</v>
      </c>
      <c r="B53" s="24" t="s">
        <v>88</v>
      </c>
      <c r="C53" s="24" t="s">
        <v>51</v>
      </c>
      <c r="D53" s="26" t="s">
        <v>64</v>
      </c>
      <c r="E53" s="27"/>
      <c r="F53" s="27"/>
      <c r="G53" s="27"/>
      <c r="H53" s="27"/>
    </row>
    <row r="54" spans="1:8" ht="38" customHeight="1" x14ac:dyDescent="0.35">
      <c r="A54" s="28" t="s">
        <v>131</v>
      </c>
      <c r="B54" s="29" t="s">
        <v>94</v>
      </c>
      <c r="C54" s="21" t="s">
        <v>132</v>
      </c>
      <c r="D54" s="15" t="s">
        <v>133</v>
      </c>
      <c r="E54" s="15"/>
      <c r="F54" s="15"/>
      <c r="G54" s="15"/>
      <c r="H54" s="15"/>
    </row>
  </sheetData>
  <mergeCells count="40">
    <mergeCell ref="D50:H50"/>
    <mergeCell ref="A52:H52"/>
    <mergeCell ref="D53:H53"/>
    <mergeCell ref="D54:H54"/>
    <mergeCell ref="D42:H42"/>
    <mergeCell ref="A44:H44"/>
    <mergeCell ref="D45:H45"/>
    <mergeCell ref="D46:H46"/>
    <mergeCell ref="A48:H48"/>
    <mergeCell ref="D49:H49"/>
    <mergeCell ref="B35:H35"/>
    <mergeCell ref="B36:H36"/>
    <mergeCell ref="A38:H38"/>
    <mergeCell ref="D39:H39"/>
    <mergeCell ref="D40:H40"/>
    <mergeCell ref="D41:H41"/>
    <mergeCell ref="G28:H28"/>
    <mergeCell ref="G29:H29"/>
    <mergeCell ref="A31:H31"/>
    <mergeCell ref="B32:H32"/>
    <mergeCell ref="B33:H33"/>
    <mergeCell ref="B34:H34"/>
    <mergeCell ref="B21:H21"/>
    <mergeCell ref="B22:H22"/>
    <mergeCell ref="B23:H23"/>
    <mergeCell ref="B24:H24"/>
    <mergeCell ref="A26:H26"/>
    <mergeCell ref="G27:H27"/>
    <mergeCell ref="B8:H8"/>
    <mergeCell ref="B9:H9"/>
    <mergeCell ref="B10:H10"/>
    <mergeCell ref="B11:H11"/>
    <mergeCell ref="A13:H13"/>
    <mergeCell ref="A20:H20"/>
    <mergeCell ref="A1:H1"/>
    <mergeCell ref="B3:H3"/>
    <mergeCell ref="B4:H4"/>
    <mergeCell ref="B5:H5"/>
    <mergeCell ref="B6:H6"/>
    <mergeCell ref="B7:H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5549-80F9-4BA5-8C59-52184639B9B4}">
  <dimension ref="A1:X57"/>
  <sheetViews>
    <sheetView tabSelected="1" topLeftCell="L1" workbookViewId="0">
      <selection activeCell="B4" sqref="B4"/>
    </sheetView>
  </sheetViews>
  <sheetFormatPr defaultRowHeight="14.5" x14ac:dyDescent="0.35"/>
  <cols>
    <col min="1" max="2" width="8.36328125" customWidth="1"/>
    <col min="3" max="3" width="23.6328125" customWidth="1"/>
    <col min="4" max="4" width="10" customWidth="1"/>
    <col min="5" max="5" width="20.90625" customWidth="1"/>
    <col min="6" max="6" width="16.7265625" customWidth="1"/>
    <col min="8" max="9" width="11.26953125" customWidth="1"/>
    <col min="11" max="11" width="13.08984375" customWidth="1"/>
    <col min="12" max="12" width="29.08984375" customWidth="1"/>
    <col min="13" max="13" width="14.90625" customWidth="1"/>
    <col min="14" max="14" width="36.36328125" customWidth="1"/>
    <col min="16" max="16" width="10.90625" customWidth="1"/>
    <col min="18" max="18" width="20" customWidth="1"/>
    <col min="19" max="19" width="23.6328125" customWidth="1"/>
    <col min="20" max="20" width="18.1796875" customWidth="1"/>
    <col min="21" max="21" width="12.7265625" customWidth="1"/>
    <col min="22" max="22" width="16.36328125" customWidth="1"/>
    <col min="23" max="23" width="21.81640625" customWidth="1"/>
    <col min="24" max="24" width="36.36328125" customWidth="1"/>
  </cols>
  <sheetData>
    <row r="1" spans="1:24" ht="21" x14ac:dyDescent="0.5">
      <c r="A1" s="35" t="s">
        <v>148</v>
      </c>
      <c r="P1" s="38" t="s">
        <v>149</v>
      </c>
      <c r="Q1" s="38" t="s">
        <v>157</v>
      </c>
      <c r="R1" s="34" t="s">
        <v>174</v>
      </c>
      <c r="S1" s="34" t="s">
        <v>175</v>
      </c>
      <c r="T1" s="34" t="s">
        <v>176</v>
      </c>
      <c r="U1" s="38" t="s">
        <v>177</v>
      </c>
      <c r="V1" s="34" t="s">
        <v>178</v>
      </c>
      <c r="W1" s="34" t="s">
        <v>179</v>
      </c>
      <c r="X1" s="34" t="s">
        <v>139</v>
      </c>
    </row>
    <row r="2" spans="1:24" x14ac:dyDescent="0.35">
      <c r="P2" s="1">
        <v>1</v>
      </c>
      <c r="Q2" s="1">
        <v>1</v>
      </c>
      <c r="R2" t="s">
        <v>8</v>
      </c>
      <c r="S2" t="s">
        <v>171</v>
      </c>
      <c r="T2" t="s">
        <v>50</v>
      </c>
      <c r="U2" s="1">
        <v>7</v>
      </c>
      <c r="V2" t="s">
        <v>180</v>
      </c>
      <c r="W2" t="s">
        <v>181</v>
      </c>
      <c r="X2" t="s">
        <v>182</v>
      </c>
    </row>
    <row r="3" spans="1:24" ht="18.5" x14ac:dyDescent="0.45">
      <c r="A3" s="5" t="s">
        <v>149</v>
      </c>
      <c r="B3" s="36">
        <v>1</v>
      </c>
      <c r="D3" s="4" t="s">
        <v>151</v>
      </c>
      <c r="E3" s="37" t="str">
        <f>IFERROR(INDEX($C$8:$C$19,MATCH($B$4,$A$8:$A$19,0)),"—")</f>
        <v>Prag</v>
      </c>
      <c r="I3" s="4" t="s">
        <v>153</v>
      </c>
      <c r="J3" s="5" cm="1">
        <f t="array" aca="1" ref="J3" ca="1">SUMPRODUCT(($D$8:$D$19="NPC")*($H$8:$H$19&gt;0))</f>
        <v>3</v>
      </c>
      <c r="L3" s="4" t="s">
        <v>155</v>
      </c>
      <c r="M3" s="5" cm="1">
        <f t="array" aca="1" ref="M3" ca="1">SUMPRODUCT(($D$8:$D$19="NPC")*($H$8:$H$19&gt;0)*$K$8:$K$19)</f>
        <v>9</v>
      </c>
    </row>
    <row r="4" spans="1:24" ht="18.5" x14ac:dyDescent="0.45">
      <c r="A4" s="5" t="s">
        <v>150</v>
      </c>
      <c r="B4" s="36">
        <v>3</v>
      </c>
      <c r="D4" s="4" t="s">
        <v>152</v>
      </c>
      <c r="E4" s="2" t="str">
        <f>IFERROR(INDEX($C$8:$C$19,MATCH(IF($B$4&gt;=MAX($A$8:$A$19),1,$B$4+1),$A$8:$A$19,0)),"—")</f>
        <v>Roquist</v>
      </c>
      <c r="I4" s="4" t="s">
        <v>154</v>
      </c>
      <c r="J4" s="5">
        <f ca="1">SUMIFS($H$8:$H$19,$D$8:$D$19,"NPC",$H$8:$H$19,"&gt;0")</f>
        <v>548</v>
      </c>
    </row>
    <row r="5" spans="1:24" x14ac:dyDescent="0.35">
      <c r="B5">
        <v>2</v>
      </c>
    </row>
    <row r="6" spans="1:24" x14ac:dyDescent="0.35">
      <c r="A6" s="3" t="s">
        <v>156</v>
      </c>
    </row>
    <row r="7" spans="1:24" x14ac:dyDescent="0.35">
      <c r="A7" s="38" t="s">
        <v>157</v>
      </c>
      <c r="B7" s="38" t="s">
        <v>158</v>
      </c>
      <c r="C7" s="34" t="s">
        <v>0</v>
      </c>
      <c r="D7" s="34" t="s">
        <v>20</v>
      </c>
      <c r="E7" s="34" t="s">
        <v>159</v>
      </c>
      <c r="F7" s="38" t="s">
        <v>160</v>
      </c>
      <c r="G7" s="38" t="s">
        <v>19</v>
      </c>
      <c r="H7" s="38" t="s">
        <v>161</v>
      </c>
      <c r="I7" s="38" t="s">
        <v>162</v>
      </c>
      <c r="J7" s="38" t="s">
        <v>163</v>
      </c>
      <c r="K7" s="38" t="s">
        <v>164</v>
      </c>
      <c r="L7" s="38" t="s">
        <v>165</v>
      </c>
      <c r="M7" s="38" t="s">
        <v>166</v>
      </c>
      <c r="N7" s="38" t="s">
        <v>139</v>
      </c>
    </row>
    <row r="8" spans="1:24" x14ac:dyDescent="0.35">
      <c r="A8" s="1">
        <f>IF($B8="","",RANK($B8,$B$8:$B$19,0)+COUNTIF($B$8:$B8,$B8)-1)</f>
        <v>2</v>
      </c>
      <c r="B8" s="6">
        <v>17</v>
      </c>
      <c r="C8" t="s">
        <v>5</v>
      </c>
      <c r="D8" t="s">
        <v>10</v>
      </c>
      <c r="H8" s="1" t="str">
        <f>IF($I8="","",$I8-SUMIFS($U$2:$U$2000,$S$2:$S$2000,$C8,$T$2:$T$2000,"Damage")+SUMIFS($U$2:$U$2000,$S$2:$S$2000,$C8,$T$2:$T$2000,"Healing"))</f>
        <v/>
      </c>
      <c r="M8" s="1" t="str">
        <f>IF($I8="","",IF($H8&lt;=0,"Dead",IF($H8&lt;=$I8/2,"Bloodied","Active")))</f>
        <v/>
      </c>
    </row>
    <row r="9" spans="1:24" x14ac:dyDescent="0.35">
      <c r="A9" s="1">
        <f>IF($B9="","",RANK($B9,$B$8:$B$19,0)+COUNTIF($B$8:$B9,$B9)-1)</f>
        <v>3</v>
      </c>
      <c r="B9" s="6">
        <v>14</v>
      </c>
      <c r="C9" t="s">
        <v>6</v>
      </c>
      <c r="D9" t="s">
        <v>10</v>
      </c>
      <c r="H9" s="1" t="str">
        <f t="shared" ref="H9:H13" si="0">IF($I9="","",$I9-SUMIFS($U$2:$U$2000,$S$2:$S$2000,$C9,$T$2:$T$2000,"Damage")+SUMIFS($U$2:$U$2000,$S$2:$S$2000,$C9,$T$2:$T$2000,"Healing"))</f>
        <v/>
      </c>
      <c r="M9" s="1" t="str">
        <f t="shared" ref="M9:M13" si="1">IF($I9="","",IF($H9&lt;=0,"Dead",IF($H9&lt;=$I9/2,"Bloodied","Active")))</f>
        <v/>
      </c>
    </row>
    <row r="10" spans="1:24" x14ac:dyDescent="0.35">
      <c r="A10" s="1">
        <f>IF($B10="","",RANK($B10,$B$8:$B$19,0)+COUNTIF($B$8:$B10,$B10)-1)</f>
        <v>4</v>
      </c>
      <c r="B10" s="6">
        <v>12</v>
      </c>
      <c r="C10" t="s">
        <v>7</v>
      </c>
      <c r="D10" t="s">
        <v>10</v>
      </c>
      <c r="H10" s="1" t="str">
        <f t="shared" si="0"/>
        <v/>
      </c>
      <c r="M10" s="1" t="str">
        <f t="shared" si="1"/>
        <v/>
      </c>
    </row>
    <row r="11" spans="1:24" x14ac:dyDescent="0.35">
      <c r="A11" s="1">
        <f>IF($B11="","",RANK($B11,$B$8:$B$19,0)+COUNTIF($B$8:$B11,$B11)-1)</f>
        <v>1</v>
      </c>
      <c r="B11" s="6">
        <v>19</v>
      </c>
      <c r="C11" t="s">
        <v>8</v>
      </c>
      <c r="D11" t="s">
        <v>10</v>
      </c>
      <c r="H11" s="1" t="str">
        <f t="shared" si="0"/>
        <v/>
      </c>
      <c r="M11" s="1" t="str">
        <f t="shared" si="1"/>
        <v/>
      </c>
    </row>
    <row r="12" spans="1:24" x14ac:dyDescent="0.35">
      <c r="A12" s="1">
        <f>IF($B12="","",RANK($B12,$B$8:$B$19,0)+COUNTIF($B$8:$B12,$B12)-1)</f>
        <v>6</v>
      </c>
      <c r="B12" s="6">
        <v>9</v>
      </c>
      <c r="C12" t="s">
        <v>11</v>
      </c>
      <c r="D12" t="s">
        <v>10</v>
      </c>
      <c r="H12" s="1" t="str">
        <f t="shared" si="0"/>
        <v/>
      </c>
      <c r="M12" s="1" t="str">
        <f t="shared" si="1"/>
        <v/>
      </c>
    </row>
    <row r="13" spans="1:24" x14ac:dyDescent="0.35">
      <c r="A13" s="1">
        <f>IF($B13="","",RANK($B13,$B$8:$B$19,0)+COUNTIF($B$8:$B13,$B13)-1)</f>
        <v>7</v>
      </c>
      <c r="B13" s="6">
        <v>8</v>
      </c>
      <c r="C13" t="s">
        <v>1</v>
      </c>
      <c r="D13" t="s">
        <v>12</v>
      </c>
      <c r="F13" s="1" t="s">
        <v>76</v>
      </c>
      <c r="G13" s="39">
        <f>Korrum!B7</f>
        <v>18</v>
      </c>
      <c r="H13" s="1">
        <f>IF($I13="","",$I13-SUMIFS($U$2:$U$2000,$S$2:$S$2000,$C13,$T$2:$T$2000,"Damage")+SUMIFS($U$2:$U$2000,$S$2:$S$2000,$C13,$T$2:$T$2000,"Healing"))</f>
        <v>285</v>
      </c>
      <c r="I13" s="39">
        <f>Korrum!B8</f>
        <v>285</v>
      </c>
      <c r="K13" s="1">
        <f>IF($H13&gt;0,Korrum!K2,0)</f>
        <v>3</v>
      </c>
      <c r="M13" s="1" t="str">
        <f>IF($I13="","",IF($H13&lt;=0,"Dead",IF($H13&lt;=$I13/2,"Bloodied","Active")))</f>
        <v>Active</v>
      </c>
    </row>
    <row r="14" spans="1:24" x14ac:dyDescent="0.35">
      <c r="A14" s="1">
        <f>IF($B14="","",RANK($B14,$B$8:$B$19,0)+COUNTIF($B$8:$B14,$B14)-1)</f>
        <v>8</v>
      </c>
      <c r="B14" s="6">
        <v>7</v>
      </c>
      <c r="C14" t="s">
        <v>9</v>
      </c>
      <c r="D14" t="s">
        <v>12</v>
      </c>
      <c r="F14" s="1" t="s">
        <v>76</v>
      </c>
      <c r="G14" s="39">
        <f>Veyrath!B7</f>
        <v>17</v>
      </c>
      <c r="H14" s="1">
        <f>IF($I14="","",$I14-SUMIFS($U$2:$U$2000,$S$2:$S$2000,$C14,$T$2:$T$2000,"Damage")+SUMIFS($U$2:$U$2000,$S$2:$S$2000,$C14,$T$2:$T$2000,"Healing"))</f>
        <v>240</v>
      </c>
      <c r="I14" s="39">
        <f>Veyrath!B8</f>
        <v>240</v>
      </c>
      <c r="K14" s="1">
        <f>IF($H14&gt;0,Veyrath!K2,0)</f>
        <v>3</v>
      </c>
      <c r="M14" s="1" t="str">
        <f>IF($I14="","",IF($H14&lt;=0,"Dead",IF($H14&lt;=$I14/2,"Bloodied","Active")))</f>
        <v>Active</v>
      </c>
    </row>
    <row r="15" spans="1:24" x14ac:dyDescent="0.35">
      <c r="A15" s="1">
        <f>IF($B15="","",RANK($B15,$B$8:$B$19,0)+COUNTIF($B$8:$B15,$B15)-1)</f>
        <v>5</v>
      </c>
      <c r="B15" s="6">
        <v>10</v>
      </c>
      <c r="C15" t="s">
        <v>142</v>
      </c>
      <c r="D15" t="s">
        <v>12</v>
      </c>
      <c r="E15" t="s">
        <v>142</v>
      </c>
      <c r="F15" s="1" t="str">
        <f ca="1">COUNTIFS($B$25:$B$60,$E15,$D$25:$D$60,"&gt;0")&amp;" / "&amp;COUNTIFS($B$25:$B$60,$E15)</f>
        <v>3 / 3</v>
      </c>
      <c r="G15" s="1" t="s">
        <v>76</v>
      </c>
      <c r="H15" s="1">
        <f ca="1">SUMIFS($D$25:$D$60,$B$25:$B$60,$E15)</f>
        <v>23</v>
      </c>
      <c r="I15" s="1">
        <f ca="1">SUMIFS($C$25:$C$60,$B$25:$B$60,$E15)</f>
        <v>30</v>
      </c>
      <c r="K15" s="1">
        <f ca="1">SUMIFS($G$25:$G$60,$B$25:$B$60,$E15,$F$25:$F$60,"Y",$D$25:$D$60,"&gt;0")</f>
        <v>3</v>
      </c>
      <c r="M15" s="1" t="str">
        <f ca="1">IF($I15="","",IF($H15&lt;=0,"Dead",IF($H15&lt;=$I15/2,"Bloodied","Active")))</f>
        <v>Active</v>
      </c>
    </row>
    <row r="23" spans="1:13" x14ac:dyDescent="0.35">
      <c r="A23" s="40" t="s">
        <v>167</v>
      </c>
    </row>
    <row r="24" spans="1:13" x14ac:dyDescent="0.35">
      <c r="A24" s="41" t="s">
        <v>168</v>
      </c>
      <c r="B24" s="41" t="s">
        <v>159</v>
      </c>
      <c r="C24" s="42" t="s">
        <v>162</v>
      </c>
      <c r="D24" s="42" t="s">
        <v>161</v>
      </c>
      <c r="E24" s="42" t="s">
        <v>166</v>
      </c>
      <c r="F24" s="42" t="s">
        <v>169</v>
      </c>
      <c r="G24" s="42" t="s">
        <v>170</v>
      </c>
      <c r="H24" s="42" t="s">
        <v>165</v>
      </c>
      <c r="I24" s="38" t="s">
        <v>202</v>
      </c>
      <c r="L24" s="34" t="s">
        <v>215</v>
      </c>
    </row>
    <row r="25" spans="1:13" x14ac:dyDescent="0.35">
      <c r="A25" t="s">
        <v>171</v>
      </c>
      <c r="B25" t="s">
        <v>142</v>
      </c>
      <c r="C25" s="39">
        <f>'Battle List'!$G$9</f>
        <v>10</v>
      </c>
      <c r="D25" s="1">
        <f>IF($C25="","",$C25-SUMIFS($U$2:$U$2000,$S$2:$S$2000,$A25,$T$2:$T$2000,"Damage")+SUMIFS($U$2:$U$2000,$S$2:$S$2000,$A25,$T$2:$T$2000,"Healing"))</f>
        <v>3</v>
      </c>
      <c r="E25" s="1" t="str">
        <f>IF($D25="","",IF($D25&lt;=0,"Dead",IF($D25&lt;=$C25/2,"Bloodied","Active")))</f>
        <v>Bloodied</v>
      </c>
      <c r="F25" s="6" t="s">
        <v>36</v>
      </c>
      <c r="G25" s="6">
        <v>1</v>
      </c>
      <c r="I25" s="4" t="s">
        <v>159</v>
      </c>
      <c r="J25" s="48" t="s">
        <v>142</v>
      </c>
      <c r="L25" s="10" t="s">
        <v>12</v>
      </c>
      <c r="M25" s="9" t="s">
        <v>216</v>
      </c>
    </row>
    <row r="26" spans="1:13" x14ac:dyDescent="0.35">
      <c r="A26" t="s">
        <v>172</v>
      </c>
      <c r="B26" t="s">
        <v>142</v>
      </c>
      <c r="C26" s="39">
        <f>'Battle List'!$G$9</f>
        <v>10</v>
      </c>
      <c r="D26" s="1">
        <f t="shared" ref="D26:D27" si="2">IF($C26="","",$C26-SUMIFS($U$2:$U$2000,$S$2:$S$2000,$A26,$T$2:$T$2000,"Damage")+SUMIFS($U$2:$U$2000,$S$2:$S$2000,$A26,$T$2:$T$2000,"Healing"))</f>
        <v>10</v>
      </c>
      <c r="E26" s="1" t="str">
        <f t="shared" ref="E26:E27" si="3">IF($D26="","",IF($D26&lt;=0,"Dead",IF($D26&lt;=$C26/2,"Bloodied","Active")))</f>
        <v>Active</v>
      </c>
      <c r="F26" s="6" t="s">
        <v>36</v>
      </c>
      <c r="G26" s="6">
        <v>1</v>
      </c>
      <c r="I26" s="4" t="s">
        <v>203</v>
      </c>
      <c r="J26" s="49">
        <v>16</v>
      </c>
      <c r="L26" t="s">
        <v>1</v>
      </c>
      <c r="M26" s="1">
        <f ca="1">RANDBETWEEN(1,20)+Korrum!B11</f>
        <v>15</v>
      </c>
    </row>
    <row r="27" spans="1:13" x14ac:dyDescent="0.35">
      <c r="A27" t="s">
        <v>173</v>
      </c>
      <c r="B27" t="s">
        <v>142</v>
      </c>
      <c r="C27" s="39">
        <f>'Battle List'!$G$9</f>
        <v>10</v>
      </c>
      <c r="D27" s="1">
        <f t="shared" si="2"/>
        <v>10</v>
      </c>
      <c r="E27" s="1" t="str">
        <f t="shared" si="3"/>
        <v>Active</v>
      </c>
      <c r="F27" s="6" t="s">
        <v>36</v>
      </c>
      <c r="G27" s="6">
        <v>1</v>
      </c>
      <c r="I27" s="4" t="s">
        <v>204</v>
      </c>
      <c r="J27" s="1">
        <f ca="1">COUNTIFS($B$25:$B$60,$J$25,$D$25:$D$60,"&gt;0")</f>
        <v>3</v>
      </c>
      <c r="L27" t="s">
        <v>9</v>
      </c>
      <c r="M27" s="1">
        <f ca="1">RANDBETWEEN(1,20)+Veyrath!B11</f>
        <v>18</v>
      </c>
    </row>
    <row r="28" spans="1:13" x14ac:dyDescent="0.35">
      <c r="I28" s="4" t="s">
        <v>205</v>
      </c>
      <c r="J28" s="1">
        <f ca="1">IF($J$27=0,0,ROUNDUP($J$26/$J$27,0))</f>
        <v>6</v>
      </c>
      <c r="L28" t="s">
        <v>142</v>
      </c>
      <c r="M28" s="1">
        <f ca="1">RANDBETWEEN(1,20)+2</f>
        <v>14</v>
      </c>
    </row>
    <row r="29" spans="1:13" x14ac:dyDescent="0.35">
      <c r="I29" s="4" t="s">
        <v>206</v>
      </c>
      <c r="J29" s="1">
        <f ca="1">IFERROR(INT($J$26/AVERAGEIFS($C$25:$C$60,$B$25:$B$60,$J$25)),0)</f>
        <v>1</v>
      </c>
    </row>
    <row r="30" spans="1:13" x14ac:dyDescent="0.35">
      <c r="A30" s="43" t="s">
        <v>183</v>
      </c>
      <c r="I30" s="50" t="s">
        <v>207</v>
      </c>
    </row>
    <row r="31" spans="1:13" x14ac:dyDescent="0.35">
      <c r="A31" s="45" t="s">
        <v>184</v>
      </c>
      <c r="B31" s="45" t="s">
        <v>48</v>
      </c>
      <c r="C31" s="45" t="s">
        <v>185</v>
      </c>
      <c r="D31" s="45" t="s">
        <v>186</v>
      </c>
    </row>
    <row r="32" spans="1:13" x14ac:dyDescent="0.35">
      <c r="A32" s="6">
        <v>8</v>
      </c>
      <c r="B32" s="8">
        <v>5</v>
      </c>
      <c r="C32" s="6">
        <v>17</v>
      </c>
      <c r="D32" s="6">
        <v>9</v>
      </c>
    </row>
    <row r="34" spans="1:11" x14ac:dyDescent="0.35">
      <c r="A34" s="4" t="s">
        <v>187</v>
      </c>
      <c r="B34" s="1">
        <f ca="1">RANDBETWEEN(1,20)</f>
        <v>8</v>
      </c>
      <c r="C34" s="1">
        <f t="shared" ref="C34:K34" ca="1" si="4">RANDBETWEEN(1,20)</f>
        <v>18</v>
      </c>
      <c r="D34" s="1">
        <f t="shared" ca="1" si="4"/>
        <v>14</v>
      </c>
      <c r="E34" s="1">
        <f t="shared" ca="1" si="4"/>
        <v>16</v>
      </c>
      <c r="F34" s="1">
        <f t="shared" ca="1" si="4"/>
        <v>5</v>
      </c>
      <c r="G34" s="1">
        <f t="shared" ca="1" si="4"/>
        <v>13</v>
      </c>
      <c r="H34" s="1">
        <f t="shared" ca="1" si="4"/>
        <v>4</v>
      </c>
      <c r="I34" s="1">
        <f t="shared" ca="1" si="4"/>
        <v>3</v>
      </c>
      <c r="J34" s="1">
        <f t="shared" ca="1" si="4"/>
        <v>11</v>
      </c>
      <c r="K34" s="1">
        <f t="shared" ca="1" si="4"/>
        <v>13</v>
      </c>
    </row>
    <row r="35" spans="1:11" x14ac:dyDescent="0.35">
      <c r="A35" s="4" t="s">
        <v>188</v>
      </c>
      <c r="B35" s="7">
        <f ca="1">B34+$B$32</f>
        <v>13</v>
      </c>
      <c r="C35" s="7">
        <f t="shared" ref="C35:K35" ca="1" si="5">C34+$B$32</f>
        <v>23</v>
      </c>
      <c r="D35" s="7">
        <f t="shared" ca="1" si="5"/>
        <v>19</v>
      </c>
      <c r="E35" s="7">
        <f t="shared" ca="1" si="5"/>
        <v>21</v>
      </c>
      <c r="F35" s="7">
        <f t="shared" ca="1" si="5"/>
        <v>10</v>
      </c>
      <c r="G35" s="7">
        <f t="shared" ca="1" si="5"/>
        <v>18</v>
      </c>
      <c r="H35" s="7">
        <f t="shared" ca="1" si="5"/>
        <v>9</v>
      </c>
      <c r="I35" s="7">
        <f t="shared" ca="1" si="5"/>
        <v>8</v>
      </c>
      <c r="J35" s="7">
        <f t="shared" ca="1" si="5"/>
        <v>16</v>
      </c>
      <c r="K35" s="7">
        <f t="shared" ca="1" si="5"/>
        <v>18</v>
      </c>
    </row>
    <row r="36" spans="1:11" x14ac:dyDescent="0.35">
      <c r="A36" s="4" t="s">
        <v>189</v>
      </c>
      <c r="B36" s="46" t="str">
        <f ca="1">IF((COLUMN()-COLUMN($B$36)+1)&gt;$A$32,"",IF(OR(B34=20,B35&gt;=$C$32),"HIT","miss"))</f>
        <v>miss</v>
      </c>
      <c r="C36" s="46" t="str">
        <f t="shared" ref="C36:K36" ca="1" si="6">IF((COLUMN()-COLUMN($B$36)+1)&gt;$A$32,"",IF(OR(C34=20,C35&gt;=$C$32),"HIT","miss"))</f>
        <v>HIT</v>
      </c>
      <c r="D36" s="46" t="str">
        <f t="shared" ca="1" si="6"/>
        <v>HIT</v>
      </c>
      <c r="E36" s="46" t="str">
        <f t="shared" ca="1" si="6"/>
        <v>HIT</v>
      </c>
      <c r="F36" s="46" t="str">
        <f t="shared" ca="1" si="6"/>
        <v>miss</v>
      </c>
      <c r="G36" s="46" t="str">
        <f t="shared" ca="1" si="6"/>
        <v>HIT</v>
      </c>
      <c r="H36" s="46" t="str">
        <f t="shared" ca="1" si="6"/>
        <v>miss</v>
      </c>
      <c r="I36" s="46" t="str">
        <f t="shared" ca="1" si="6"/>
        <v>miss</v>
      </c>
      <c r="J36" s="46" t="str">
        <f t="shared" si="6"/>
        <v/>
      </c>
      <c r="K36" s="46" t="str">
        <f t="shared" si="6"/>
        <v/>
      </c>
    </row>
    <row r="38" spans="1:11" ht="16" x14ac:dyDescent="0.4">
      <c r="A38" s="44" t="s">
        <v>190</v>
      </c>
      <c r="B38" s="47">
        <f ca="1">COUNTIF(B36:K36,"HIT")</f>
        <v>4</v>
      </c>
      <c r="C38" s="44" t="s">
        <v>191</v>
      </c>
      <c r="D38" s="47">
        <f ca="1">B38*$D$32</f>
        <v>36</v>
      </c>
    </row>
    <row r="41" spans="1:11" x14ac:dyDescent="0.35">
      <c r="A41" s="43" t="s">
        <v>192</v>
      </c>
    </row>
    <row r="42" spans="1:11" x14ac:dyDescent="0.35">
      <c r="A42" s="45" t="s">
        <v>193</v>
      </c>
      <c r="B42" s="45" t="s">
        <v>48</v>
      </c>
      <c r="C42" s="45" t="s">
        <v>185</v>
      </c>
      <c r="F42" s="45" t="s">
        <v>200</v>
      </c>
      <c r="G42" s="45" t="s">
        <v>201</v>
      </c>
    </row>
    <row r="43" spans="1:11" x14ac:dyDescent="0.35">
      <c r="A43" s="6">
        <v>40</v>
      </c>
      <c r="B43" s="8">
        <v>5</v>
      </c>
      <c r="C43" s="6">
        <v>20</v>
      </c>
      <c r="F43" s="1">
        <v>1</v>
      </c>
      <c r="G43" s="1">
        <v>1</v>
      </c>
    </row>
    <row r="44" spans="1:11" x14ac:dyDescent="0.35">
      <c r="A44" s="4" t="s">
        <v>194</v>
      </c>
      <c r="B44" s="1">
        <f>MIN(20,MAX(1,$C$43-$B$43))</f>
        <v>15</v>
      </c>
      <c r="F44" s="1">
        <v>6</v>
      </c>
      <c r="G44" s="1">
        <v>2</v>
      </c>
    </row>
    <row r="45" spans="1:11" x14ac:dyDescent="0.35">
      <c r="A45" s="4" t="s">
        <v>195</v>
      </c>
      <c r="B45" s="1">
        <f>VLOOKUP($B$44,$F$43:$G$49,2,TRUE)</f>
        <v>4</v>
      </c>
      <c r="F45" s="1">
        <v>13</v>
      </c>
      <c r="G45" s="1">
        <v>3</v>
      </c>
    </row>
    <row r="46" spans="1:11" x14ac:dyDescent="0.35">
      <c r="A46" s="4" t="s">
        <v>196</v>
      </c>
      <c r="B46" s="5">
        <f>INT($A$43/$B$45)</f>
        <v>10</v>
      </c>
      <c r="F46" s="1">
        <v>15</v>
      </c>
      <c r="G46" s="1">
        <v>4</v>
      </c>
    </row>
    <row r="47" spans="1:11" x14ac:dyDescent="0.35">
      <c r="A47" s="4" t="s">
        <v>197</v>
      </c>
      <c r="B47" s="49"/>
      <c r="F47" s="1">
        <v>17</v>
      </c>
      <c r="G47" s="1">
        <v>5</v>
      </c>
    </row>
    <row r="48" spans="1:11" x14ac:dyDescent="0.35">
      <c r="A48" s="4" t="s">
        <v>198</v>
      </c>
      <c r="B48" s="6">
        <v>7</v>
      </c>
      <c r="F48" s="1">
        <v>19</v>
      </c>
      <c r="G48" s="1">
        <v>10</v>
      </c>
    </row>
    <row r="49" spans="1:7" ht="16" x14ac:dyDescent="0.4">
      <c r="A49" s="44" t="s">
        <v>199</v>
      </c>
      <c r="B49" s="47">
        <f>IF($B$47="",$B$46,$B$47)*$B$48</f>
        <v>70</v>
      </c>
      <c r="F49" s="1">
        <v>20</v>
      </c>
      <c r="G49" s="1">
        <v>20</v>
      </c>
    </row>
    <row r="51" spans="1:7" x14ac:dyDescent="0.35">
      <c r="A51" s="51" t="s">
        <v>208</v>
      </c>
    </row>
    <row r="52" spans="1:7" x14ac:dyDescent="0.35">
      <c r="A52" s="52" t="s">
        <v>209</v>
      </c>
    </row>
    <row r="53" spans="1:7" x14ac:dyDescent="0.35">
      <c r="A53" s="52" t="s">
        <v>210</v>
      </c>
    </row>
    <row r="54" spans="1:7" x14ac:dyDescent="0.35">
      <c r="A54" s="52" t="s">
        <v>211</v>
      </c>
    </row>
    <row r="55" spans="1:7" x14ac:dyDescent="0.35">
      <c r="A55" s="52" t="s">
        <v>212</v>
      </c>
    </row>
    <row r="56" spans="1:7" x14ac:dyDescent="0.35">
      <c r="A56" s="52" t="s">
        <v>213</v>
      </c>
    </row>
    <row r="57" spans="1:7" x14ac:dyDescent="0.35">
      <c r="A57" s="52" t="s">
        <v>214</v>
      </c>
    </row>
  </sheetData>
  <conditionalFormatting sqref="A8:N19">
    <cfRule type="expression" dxfId="6" priority="1">
      <formula>$A8=$B$4</formula>
    </cfRule>
  </conditionalFormatting>
  <conditionalFormatting sqref="M8:M19">
    <cfRule type="containsText" dxfId="5" priority="2" operator="containsText" text="Dead">
      <formula>NOT(ISERROR(SEARCH("Dead",M8)))</formula>
    </cfRule>
  </conditionalFormatting>
  <conditionalFormatting sqref="M8:M19">
    <cfRule type="containsText" dxfId="4" priority="3" operator="containsText" text="Bloodied">
      <formula>NOT(ISERROR(SEARCH("Bloodied",M8)))</formula>
    </cfRule>
  </conditionalFormatting>
  <conditionalFormatting sqref="M8:M19">
    <cfRule type="containsText" dxfId="3" priority="4" operator="containsText" text="Active">
      <formula>NOT(ISERROR(SEARCH("Active",M8)))</formula>
    </cfRule>
  </conditionalFormatting>
  <conditionalFormatting sqref="E25:E60">
    <cfRule type="containsText" dxfId="2" priority="5" operator="containsText" text="Dead">
      <formula>NOT(ISERROR(SEARCH("Dead",E25)))</formula>
    </cfRule>
  </conditionalFormatting>
  <conditionalFormatting sqref="E25:E60">
    <cfRule type="containsText" dxfId="1" priority="6" operator="containsText" text="Bloodied">
      <formula>NOT(ISERROR(SEARCH("Bloodied",E25)))</formula>
    </cfRule>
  </conditionalFormatting>
  <conditionalFormatting sqref="E25:E60">
    <cfRule type="containsText" dxfId="0" priority="7" operator="containsText" text="Active">
      <formula>NOT(ISERROR(SEARCH("Active",E25)))</formula>
    </cfRule>
  </conditionalFormatting>
  <dataValidations count="3">
    <dataValidation type="list" errorStyle="information" allowBlank="1" showInputMessage="1" sqref="L8:L19" xr:uid="{CA8292E9-D89B-4FD9-9746-CFAEC5BCA20D}">
      <formula1>"Restrained,Stunned,Prone,Frightened,Grappled,Blinded,Invisible,Poisoned,Concentrating,Incapacitated,Unconscious,Dead,Fled"</formula1>
    </dataValidation>
    <dataValidation type="list" allowBlank="1" showInputMessage="1" showErrorMessage="1" sqref="T2:T2000" xr:uid="{74D96324-5505-4A3D-AA33-295B79F21AB6}">
      <formula1>"Damage,Healing,Condition,Death,Movement,Note"</formula1>
    </dataValidation>
    <dataValidation type="list" allowBlank="1" showInputMessage="1" showErrorMessage="1" sqref="F25:F60" xr:uid="{4BEFCA71-DB93-4E6B-8858-2991FC3E1053}">
      <formula1>"Y,N"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Battle List</vt:lpstr>
      <vt:lpstr>Korrum</vt:lpstr>
      <vt:lpstr>Veyrath</vt:lpstr>
      <vt:lpstr>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Wallin</dc:creator>
  <cp:lastModifiedBy>John Wallin</cp:lastModifiedBy>
  <dcterms:created xsi:type="dcterms:W3CDTF">2026-06-23T15:08:51Z</dcterms:created>
  <dcterms:modified xsi:type="dcterms:W3CDTF">2026-06-26T19:06:25Z</dcterms:modified>
</cp:coreProperties>
</file>