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docs.live.net/2d9d17965d8823e1/dnd - elemental crown/battle tracker/"/>
    </mc:Choice>
  </mc:AlternateContent>
  <xr:revisionPtr revIDLastSave="14" documentId="11_0C803F84512B9A493A23348690813F395A3FDDEE" xr6:coauthVersionLast="47" xr6:coauthVersionMax="47" xr10:uidLastSave="{6F06D051-5976-4B66-97E3-B3769FAA85EC}"/>
  <bookViews>
    <workbookView xWindow="5685" yWindow="2010" windowWidth="26160" windowHeight="16830" xr2:uid="{00000000-000D-0000-FFFF-FFFF00000000}"/>
  </bookViews>
  <sheets>
    <sheet name="Battle List" sheetId="1" r:id="rId1"/>
    <sheet name="Korrum" sheetId="2" r:id="rId2"/>
    <sheet name="Veyrath" sheetId="3" r:id="rId3"/>
    <sheet name="Hobgoblin" sheetId="4" r:id="rId4"/>
    <sheet name="Ganador Legionnaire" sheetId="5" r:id="rId5"/>
    <sheet name="Ganador Marksman" sheetId="6" r:id="rId6"/>
    <sheet name="Ganador Veteran" sheetId="7" r:id="rId7"/>
    <sheet name="War Mage" sheetId="8" r:id="rId8"/>
    <sheet name="Arcane Specialist" sheetId="9" r:id="rId9"/>
    <sheet name="War Priest" sheetId="10" r:id="rId10"/>
    <sheet name="Illusionist" sheetId="11" r:id="rId11"/>
    <sheet name="Fire Anchor Caster" sheetId="12" r:id="rId12"/>
    <sheet name="Earth Anchor Caster" sheetId="13" r:id="rId13"/>
    <sheet name="Water Anchor Caster" sheetId="14" r:id="rId14"/>
    <sheet name="Air Anchor Caster"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3" l="1"/>
  <c r="G18" i="3" s="1"/>
  <c r="F16" i="3"/>
  <c r="F18" i="3" s="1"/>
  <c r="E16" i="3"/>
  <c r="E18" i="3" s="1"/>
  <c r="D16" i="3"/>
  <c r="D18" i="3" s="1"/>
  <c r="C16" i="3"/>
  <c r="C18" i="3" s="1"/>
  <c r="B16" i="3"/>
  <c r="B18" i="3" s="1"/>
  <c r="B11" i="3"/>
  <c r="G18" i="2"/>
  <c r="F18" i="2"/>
  <c r="E18" i="2"/>
  <c r="G16" i="2"/>
  <c r="F16" i="2"/>
  <c r="E16" i="2"/>
  <c r="D16" i="2"/>
  <c r="D18" i="2" s="1"/>
  <c r="C16" i="2"/>
  <c r="C18" i="2" s="1"/>
  <c r="B16" i="2"/>
  <c r="B18" i="2" s="1"/>
  <c r="B11" i="2" l="1"/>
</calcChain>
</file>

<file path=xl/sharedStrings.xml><?xml version="1.0" encoding="utf-8"?>
<sst xmlns="http://schemas.openxmlformats.org/spreadsheetml/2006/main" count="1211" uniqueCount="366">
  <si>
    <t>CREATURE STAT BLOCK</t>
  </si>
  <si>
    <t>Name</t>
  </si>
  <si>
    <t>Hobgoblin</t>
  </si>
  <si>
    <t>Epithet</t>
  </si>
  <si>
    <t>Role</t>
  </si>
  <si>
    <t>Soldier</t>
  </si>
  <si>
    <t>Size / Type / Alignment</t>
  </si>
  <si>
    <t>Medium humanoid (goblinoid), lawful evil</t>
  </si>
  <si>
    <t>AC</t>
  </si>
  <si>
    <t>Base HP</t>
  </si>
  <si>
    <t>Speed</t>
  </si>
  <si>
    <t>30 ft.</t>
  </si>
  <si>
    <t>Proficiency Bonus</t>
  </si>
  <si>
    <t>Initiative Mod</t>
  </si>
  <si>
    <t>ABILITY SCORES</t>
  </si>
  <si>
    <t>STR</t>
  </si>
  <si>
    <t>DEX</t>
  </si>
  <si>
    <t>CON</t>
  </si>
  <si>
    <t>INT</t>
  </si>
  <si>
    <t>WIS</t>
  </si>
  <si>
    <t>CHA</t>
  </si>
  <si>
    <t>Score</t>
  </si>
  <si>
    <t>Modifier</t>
  </si>
  <si>
    <t>Save Proficient</t>
  </si>
  <si>
    <t>Save Bonus</t>
  </si>
  <si>
    <t>DEFENSES &amp; SENSES</t>
  </si>
  <si>
    <t>Resistances</t>
  </si>
  <si>
    <t>Immunities</t>
  </si>
  <si>
    <t>Condition Immunities</t>
  </si>
  <si>
    <t>Senses</t>
  </si>
  <si>
    <t>darkvision 60 ft., passive Perception 10</t>
  </si>
  <si>
    <t>ATTACKS</t>
  </si>
  <si>
    <t>Type</t>
  </si>
  <si>
    <t>To Hit</t>
  </si>
  <si>
    <t>Reach / Range</t>
  </si>
  <si>
    <t>Damage</t>
  </si>
  <si>
    <t>Save</t>
  </si>
  <si>
    <t>Effect</t>
  </si>
  <si>
    <t>Longsword</t>
  </si>
  <si>
    <t>Melee Weapon</t>
  </si>
  <si>
    <t>5 ft.</t>
  </si>
  <si>
    <t>1d8+1 slashing</t>
  </si>
  <si>
    <t>—</t>
  </si>
  <si>
    <t>TRAITS</t>
  </si>
  <si>
    <t>Description</t>
  </si>
  <si>
    <t>Martial Advantage</t>
  </si>
  <si>
    <t>Once per turn, the hobgoblin can deal an extra 2d6 damage to a creature it hits with a weapon attack if that creature is within 5 ft. of an ally of the hobgoblin that isn't incapacitated.</t>
  </si>
  <si>
    <t>NPC Source</t>
  </si>
  <si>
    <t>Quantity</t>
  </si>
  <si>
    <t>Group Name</t>
  </si>
  <si>
    <t>Initiative Mode</t>
  </si>
  <si>
    <t>HP Override</t>
  </si>
  <si>
    <t>Notes</t>
  </si>
  <si>
    <t>PC</t>
  </si>
  <si>
    <t>Rex</t>
  </si>
  <si>
    <t>Individual</t>
  </si>
  <si>
    <t>Prag</t>
  </si>
  <si>
    <t>Roquist</t>
  </si>
  <si>
    <t>Giggles</t>
  </si>
  <si>
    <t>Shaddow</t>
  </si>
  <si>
    <t>NPC</t>
  </si>
  <si>
    <t>Korrum</t>
  </si>
  <si>
    <t>Veyrath</t>
  </si>
  <si>
    <t>Flame Wisp</t>
  </si>
  <si>
    <t>Wisp Pack</t>
  </si>
  <si>
    <t>Grouped Attacks</t>
  </si>
  <si>
    <t>Summoned by Veyrath (no stat tab; uses HP override)</t>
  </si>
  <si>
    <t>Ganador Legionnaire</t>
  </si>
  <si>
    <t>Line soldier — add qty as needed</t>
  </si>
  <si>
    <t>Ganador Marksman</t>
  </si>
  <si>
    <t>Archer — position on elevation</t>
  </si>
  <si>
    <t>Ganador Veteran</t>
  </si>
  <si>
    <t>Sergeant — PRIORITY TARGET</t>
  </si>
  <si>
    <t>War Mage</t>
  </si>
  <si>
    <t>HIGH VALUE — kill before Haste/Fireball</t>
  </si>
  <si>
    <t>Arcane Specialist</t>
  </si>
  <si>
    <t>Anti-PC caster — watch for Counterspell</t>
  </si>
  <si>
    <t>War Priest</t>
  </si>
  <si>
    <t>Medic — kill to stop healing</t>
  </si>
  <si>
    <t>Illusionist</t>
  </si>
  <si>
    <t>May be disguised — watch for illusion signs</t>
  </si>
  <si>
    <t>Fire Anchor Caster</t>
  </si>
  <si>
    <t>Ritual target — does not fight</t>
  </si>
  <si>
    <t>Earth Anchor Caster</t>
  </si>
  <si>
    <t>Water Anchor Caster</t>
  </si>
  <si>
    <t>Air Anchor Caster</t>
  </si>
  <si>
    <t>TRACKER HOOKS</t>
  </si>
  <si>
    <t>Attacks / Round</t>
  </si>
  <si>
    <t>(AC=B7, HP=B8, Init=B11, Atk1 to-hit=C28)</t>
  </si>
  <si>
    <t>Stone That Remembers</t>
  </si>
  <si>
    <t>Earth Elemental Commander</t>
  </si>
  <si>
    <t>Huge elemental, neutral</t>
  </si>
  <si>
    <t>30 ft., burrow 30 ft.</t>
  </si>
  <si>
    <t>Y</t>
  </si>
  <si>
    <t>bludgeoning, piercing, slashing from nonmagical attacks</t>
  </si>
  <si>
    <t>poison</t>
  </si>
  <si>
    <t>exhaustion, paralyzed, petrified, poisoned, unconscious</t>
  </si>
  <si>
    <t>darkvision 60 ft., tremorsense 60 ft., passive Perception 11</t>
  </si>
  <si>
    <t>Slam</t>
  </si>
  <si>
    <t>10 ft.</t>
  </si>
  <si>
    <t>3d8+7 bludgeoning</t>
  </si>
  <si>
    <t>DC 17 STR</t>
  </si>
  <si>
    <t>On hit, target pushed 10 ft. or knocked prone (DC 17 STR save).</t>
  </si>
  <si>
    <t>Boulder Hurl</t>
  </si>
  <si>
    <t>Ranged Weapon</t>
  </si>
  <si>
    <t>60/180 ft.</t>
  </si>
  <si>
    <t>3d10+7 bludgeoning</t>
  </si>
  <si>
    <t>If target is flying, DC 17 STR save or pushed 20 ft. and flying speed halved until start of its next turn.</t>
  </si>
  <si>
    <t>Earth Glide</t>
  </si>
  <si>
    <t>Korrum can burrow through nonmagical, unworked earth and stone without disturbing it.</t>
  </si>
  <si>
    <t>Siege Monster</t>
  </si>
  <si>
    <t>Korrum deals double damage to objects and structures.</t>
  </si>
  <si>
    <t>Elemental Command: Stone Pressure</t>
  </si>
  <si>
    <t>While Korrum lives, each elemental flank deals +10 damage during flank resolution.</t>
  </si>
  <si>
    <t>Legendary Resistance (1/day)</t>
  </si>
  <si>
    <t>If Korrum fails a saving throw, it can choose to succeed instead.</t>
  </si>
  <si>
    <t>ACTIONS</t>
  </si>
  <si>
    <t>Recharge / Uses</t>
  </si>
  <si>
    <t>Multiattack</t>
  </si>
  <si>
    <t>Korrum makes three attacks, choosing between Slam and Boulder Hurl.</t>
  </si>
  <si>
    <t>Grasping Earth</t>
  </si>
  <si>
    <t>Recharge 5–6</t>
  </si>
  <si>
    <t>Choose a 20-ft. square of ground within 90 ft.; it becomes difficult terrain. Creatures in the area make a DC 17 STR save or be restrained. A restrained creature can repeat the save at the end of each of its turns, ending the effect on a success.</t>
  </si>
  <si>
    <t>BONUS ACTIONS</t>
  </si>
  <si>
    <t>Stone Spire</t>
  </si>
  <si>
    <t>DC 16 DEX</t>
  </si>
  <si>
    <t>Raise a 10-ft.-wide, up to 30-ft.-tall stone pillar within 60 ft. (provides cover, blocks line of sight). A creature in the space makes a DC 16 DEX save or is lifted and knocked prone. Pillar: AC 17, HP 40.</t>
  </si>
  <si>
    <t>Stone Renewal</t>
  </si>
  <si>
    <t>2x/day</t>
  </si>
  <si>
    <t>If below ½ HP and touching earth or stone, regain 20 HP. Cannot use if, since the end of its last turn, it took thunder or force damage, was moved against its will, or a creature used an action to disrupt the ground with a successful DC 16 Arcana, Athletics, Nature, or mason's tools check.</t>
  </si>
  <si>
    <t>REACTIONS</t>
  </si>
  <si>
    <t>Trigger</t>
  </si>
  <si>
    <t>Stone Backlash</t>
  </si>
  <si>
    <t>Hit by a ranged or spell attack from a creature within 120 ft.</t>
  </si>
  <si>
    <t>Jagged stone fragments whip back toward the attacker. The attacker takes 2d10 bludgeoning damage on a failed DC 16 DEX save, or half as much on a success.</t>
  </si>
  <si>
    <t>BLOODIED</t>
  </si>
  <si>
    <t>Shardfall</t>
  </si>
  <si>
    <t>First reduced below ½ HP</t>
  </si>
  <si>
    <t>Korrum summons 2 stone shards in spaces within 30 ft. and immediately raises one Stone Spire.</t>
  </si>
  <si>
    <t>the Crownflame</t>
  </si>
  <si>
    <t>Fire Elemental Commander</t>
  </si>
  <si>
    <t>Large elemental, neutral</t>
  </si>
  <si>
    <t>50 ft.</t>
  </si>
  <si>
    <t>fire, poison</t>
  </si>
  <si>
    <t>exhaustion, grappled, paralyzed, petrified, poisoned, prone, restrained, unconscious</t>
  </si>
  <si>
    <t>darkvision 60 ft., passive Perception 12</t>
  </si>
  <si>
    <t>Burning Touch</t>
  </si>
  <si>
    <t>2d8+6 fire</t>
  </si>
  <si>
    <t>Target ignites: until a creature uses an action to extinguish, it takes 1d8 fire at the start of each of its turns. This ongoing damage does not stack.</t>
  </si>
  <si>
    <t>Ember Lance</t>
  </si>
  <si>
    <t>Ranged Spell</t>
  </si>
  <si>
    <t>120 ft.</t>
  </si>
  <si>
    <t>3d8+6 fire</t>
  </si>
  <si>
    <t>If the target is concentrating, the concentration save DC is at least 12.</t>
  </si>
  <si>
    <t>Fire Form</t>
  </si>
  <si>
    <t>Veyrath can move through a space as narrow as 1 inch wide without squeezing. A creature that touches Veyrath or hits it with a melee attack while within 5 ft. takes 5 fire damage, no more than once per creature per round.</t>
  </si>
  <si>
    <t>Illumination</t>
  </si>
  <si>
    <t>Veyrath sheds bright light in a 30-ft. radius and dim light for another 30 ft.</t>
  </si>
  <si>
    <t>Elemental Command: Flame Pressure</t>
  </si>
  <si>
    <t>While Veyrath lives, each hobgoblin flank takes +10 fire attrition during flank resolution.</t>
  </si>
  <si>
    <t>If Veyrath fails a saving throw, it can choose to succeed instead.</t>
  </si>
  <si>
    <t>Veyrath makes three attacks, choosing between Burning Touch and Ember Lance.</t>
  </si>
  <si>
    <t>Thermal Updraft</t>
  </si>
  <si>
    <t>Recharge 4–6</t>
  </si>
  <si>
    <t>DC 17 STR/DEX</t>
  </si>
  <si>
    <t>A 20-ft.-radius, 60-ft.-high cylinder of superheated air within 90 ft. Creatures make a DC 17 STR or DEX save. Failure: 4d6 fire damage and pushed 30 ft. (Veyrath's choice). Success: half damage, no push. Flying creatures that ended their last turn without moving 20+ ft. have disadvantage.</t>
  </si>
  <si>
    <t>Cinder Swarm</t>
  </si>
  <si>
    <t>Fills a 20-ft.-radius sphere within 120 ft. with ash and sparks until the end of its next turn; the area is heavily obscured. Creatures entering for the first time or starting their turn there take 3d6 fire damage. Ranged attacks through, into, or out of the area have disadvantage.</t>
  </si>
  <si>
    <t>Flame Renewal</t>
  </si>
  <si>
    <t>If below ½ HP and within 30 ft. of open flame, burning debris, or intense heat, regain 20 HP. Cannot use if, since the end of its last turn, it took cold or radiant damage, was doused or smothered, or a creature used an action to disrupt nearby flames with a successful DC 16 Arcana, Nature, Survival, or appropriate tool check.</t>
  </si>
  <si>
    <t>Flare Back</t>
  </si>
  <si>
    <t>Hit by a ranged or spell attack from within 120 ft.</t>
  </si>
  <si>
    <t>The attacker takes 2d8 fire damage on a failed DC 16 DEX save, or half as much on a success.</t>
  </si>
  <si>
    <t>Crownflame Eruption</t>
  </si>
  <si>
    <t>DC 17 DEX</t>
  </si>
  <si>
    <t>Creatures within 15 ft. make a DC 17 DEX save, taking 4d6 fire damage on a failure or half on a success. Veyrath summons 2 flame wisps in spaces within 30 ft.</t>
  </si>
  <si>
    <t>Line Soldier</t>
  </si>
  <si>
    <t>Formation Fighter — holds line, controls space</t>
  </si>
  <si>
    <t>Medium humanoid (hobgoblin), lawful neutral</t>
  </si>
  <si>
    <t>darkvision 60 ft., passive Perception 11</t>
  </si>
  <si>
    <t>Spear Strike</t>
  </si>
  <si>
    <t>1d8+3 piercing</t>
  </si>
  <si>
    <t>Formation Fighting</t>
  </si>
  <si>
    <t>+1 AC while adjacent to at least one ally (effective AC 17 in formation).</t>
  </si>
  <si>
    <t>Disciplined</t>
  </si>
  <si>
    <t>Advantage on saving throws against being frightened.</t>
  </si>
  <si>
    <t>Tactics</t>
  </si>
  <si>
    <t>Maintains formation; does not pursue. Break: if isolated, switches to total defense.</t>
  </si>
  <si>
    <t>Brace</t>
  </si>
  <si>
    <t>Ready a reaction attack vs. next creature moving within 5 ft. without Disengage. Triggers one Spear Strike as a reaction.</t>
  </si>
  <si>
    <t>Archer</t>
  </si>
  <si>
    <t>Ranged Pressure — backline, avoids melee</t>
  </si>
  <si>
    <t>Longbow</t>
  </si>
  <si>
    <t>150/600 ft.</t>
  </si>
  <si>
    <t>Volley Training: +2 to hit vs engaged targets</t>
  </si>
  <si>
    <t>Volley Training</t>
  </si>
  <si>
    <t>+2 to hit against targets engaged in melee. Effective +8 to hit in those cases.</t>
  </si>
  <si>
    <t>Positioned</t>
  </si>
  <si>
    <t>+2 AC while in half or three-quarters cover.</t>
  </si>
  <si>
    <t>Repositions to maintain range. Break: withdraws if melee threat closes within 5 ft.</t>
  </si>
  <si>
    <t>Focused Shot</t>
  </si>
  <si>
    <t>Longbow attack at disadvantage. On hit: +2d6 piercing damage. Total: 1d8+2d6+3 piercing.</t>
  </si>
  <si>
    <t>Sergeant</t>
  </si>
  <si>
    <t>Unit Commander — boosts allies, holds center</t>
  </si>
  <si>
    <t>Heavy Strike</t>
  </si>
  <si>
    <t>1d10+3 slashing</t>
  </si>
  <si>
    <t>Command Presence</t>
  </si>
  <si>
    <t>Friendly creatures within 10 ft. gain +1 to attack rolls while this sergeant is conscious.</t>
  </si>
  <si>
    <t>Veteran</t>
  </si>
  <si>
    <t>Once per round, gain advantage on one saving throw before rolling.</t>
  </si>
  <si>
    <t>Center of unit; reinforces weak points. Break: below half HP retreats to preserve self and unit.</t>
  </si>
  <si>
    <t>Command</t>
  </si>
  <si>
    <t>One ally within 30 ft. uses reaction to move up to speed or make one weapon attack.</t>
  </si>
  <si>
    <t>Hold the Line</t>
  </si>
  <si>
    <t>When ally within 5 ft. takes damage: reduce that damage by 1d10+3.</t>
  </si>
  <si>
    <t>Battlefield Caster</t>
  </si>
  <si>
    <t>Buff, control, disruption — stays protected</t>
  </si>
  <si>
    <t>Medium humanoid (hobgoblin or elf), lawful neutral</t>
  </si>
  <si>
    <t>Fire Bolt</t>
  </si>
  <si>
    <t>2d10 fire</t>
  </si>
  <si>
    <t>Cantrip</t>
  </si>
  <si>
    <t>Ray of Frost</t>
  </si>
  <si>
    <t>60 ft.</t>
  </si>
  <si>
    <t>1d8 cold</t>
  </si>
  <si>
    <t>Cantrip — slows 10 ft.</t>
  </si>
  <si>
    <t>Magic Missile</t>
  </si>
  <si>
    <t>3d4+3 force</t>
  </si>
  <si>
    <t>1st level — auto-hit three darts</t>
  </si>
  <si>
    <t>Scorching Ray</t>
  </si>
  <si>
    <t>2d6 fire</t>
  </si>
  <si>
    <t>2nd level — three rays</t>
  </si>
  <si>
    <t>Fireball</t>
  </si>
  <si>
    <t>150 ft.</t>
  </si>
  <si>
    <t>8d6 fire</t>
  </si>
  <si>
    <t>DC 15 DEX</t>
  </si>
  <si>
    <t>3rd — 20-ft radius; half on save</t>
  </si>
  <si>
    <t>Lightning Bolt</t>
  </si>
  <si>
    <t>100 ft.</t>
  </si>
  <si>
    <t>8d6 lightning</t>
  </si>
  <si>
    <t>3rd — 100-ft line; half on save</t>
  </si>
  <si>
    <t>Force Burst</t>
  </si>
  <si>
    <t>4d6 force</t>
  </si>
  <si>
    <t>DC 15 CON</t>
  </si>
  <si>
    <t>Area force damage</t>
  </si>
  <si>
    <t>Controlled Casting</t>
  </si>
  <si>
    <t>Advantage on concentration saves. Not disrupted by hits under 10 damage.</t>
  </si>
  <si>
    <t>Battlefield Focus</t>
  </si>
  <si>
    <t>Advantage on CON saves to maintain concentration.</t>
  </si>
  <si>
    <t>Spellcasting — Wizard ~7-9</t>
  </si>
  <si>
    <t>Spell attack +7. Save DC 15. INT-based. Slots: 1st x4, 2nd x3, 3rd x3, 4th x1-2. Cantrips: Fire Bolt, Ray of Frost, Shocking Grasp, Minor Illusion. 1st: Mage Armor (pre-cast), Shield (reaction), Magic Missile, Fog Cloud. 2nd: Mirror Image, Misty Step, Web, Scorching Ray. 3rd: Fireball, Lightning Bolt, Haste. 4th: Wall of Fire, Greater Invisibility.</t>
  </si>
  <si>
    <t>Stays behind front line. Pre-casts Mage Armor (AC becomes 16). Casts Haste on key melee allies. Break: retreats via Misty Step if threatened in melee. HIGH VALUE TARGET.</t>
  </si>
  <si>
    <t>Control Field</t>
  </si>
  <si>
    <t>Web (DC 15 STR, restrained) or difficult terrain effect in 30-40 ft. area.</t>
  </si>
  <si>
    <t>Buff Ally</t>
  </si>
  <si>
    <t>Haste on one ally: doubled speed, +2 AC, adv DEX saves, extra Attack. Concentration 1 min.</t>
  </si>
  <si>
    <t>Shield</t>
  </si>
  <si>
    <t>When hit by attack or Magic Missile: +5 AC until start of next turn. Uses 1st-level slot.</t>
  </si>
  <si>
    <t>Counter-Mage</t>
  </si>
  <si>
    <t>Anti-magic operative — targets enemy casters first</t>
  </si>
  <si>
    <t>Arcane Strike</t>
  </si>
  <si>
    <t>Melee/Ranged Spell</t>
  </si>
  <si>
    <t>1d6+2 force</t>
  </si>
  <si>
    <t>Hit: DC 14 CON or lose concentration; if caster, next spell 3rd level or lower fails.</t>
  </si>
  <si>
    <t>1d10 fire</t>
  </si>
  <si>
    <t>1st — auto-hit forces concentration check</t>
  </si>
  <si>
    <t>Hold Person</t>
  </si>
  <si>
    <t>DC 14 WIS</t>
  </si>
  <si>
    <t>2nd — paralyzed; attacks within 5 ft. are crits. Concentration.</t>
  </si>
  <si>
    <t>Counterspell</t>
  </si>
  <si>
    <t>Reaction</t>
  </si>
  <si>
    <t>PRIMARY FUNCTION. Auto-negates spells 3rd or lower. Higher: DC 10+level INT check.</t>
  </si>
  <si>
    <t>Dispel Magic</t>
  </si>
  <si>
    <t>3rd — ends ongoing magical effects.</t>
  </si>
  <si>
    <t>DC 14 DEX</t>
  </si>
  <si>
    <t>3rd — rare use; 100-ft line.</t>
  </si>
  <si>
    <t>Detect Magic (Passive)</t>
  </si>
  <si>
    <t>Senses magic within 30 ft. automatically. Knows school and approximate location.</t>
  </si>
  <si>
    <t>Spellcasting — Wizard ~6-8</t>
  </si>
  <si>
    <t>Spell attack +6. Save DC 14. INT-based. Slots: 1st x4, 2nd x3, 3rd x3. Cantrips: Fire Bolt, Ray of Frost, Mage Hand, Minor Illusion. 1st: Shield, Magic Missile, Detect Magic, Absorb Elements. 2nd: Misty Step, Mirror Image, See Invisibility, Hold Person. 3rd: Counterspell (primary!), Dispel Magic, Lightning Bolt (rare).</t>
  </si>
  <si>
    <t>Targets enemy casters first. Hoards Counterspell for high-level spells. Break: withdraws if no magic threat present — will not waste slots on mundane combat.</t>
  </si>
  <si>
    <t>When creature within 60 ft. casts spell: auto-negate if 3rd level or lower. 4th+: DC 10+level INT check. Uses 3rd-level slot.</t>
  </si>
  <si>
    <t>+5 AC until start of next turn. Uses 1st-level slot.</t>
  </si>
  <si>
    <t>Medic</t>
  </si>
  <si>
    <t>Battlefield sustain — keeps soldiers alive</t>
  </si>
  <si>
    <t>Medium humanoid (hobgoblin, human, or lizardfolk), lawful neutral</t>
  </si>
  <si>
    <t>darkvision 60 ft., passive Perception 14</t>
  </si>
  <si>
    <t>Light Strike</t>
  </si>
  <si>
    <t>1d6+2 bludgeoning</t>
  </si>
  <si>
    <t>Mace or staff</t>
  </si>
  <si>
    <t>Sacred Flame</t>
  </si>
  <si>
    <t>1d8 radiant</t>
  </si>
  <si>
    <t>Cantrip — no attack roll; ignores cover.</t>
  </si>
  <si>
    <t>Efficient Healing</t>
  </si>
  <si>
    <t>Heals maximum die value when target is at or below half HP.</t>
  </si>
  <si>
    <t>Stabilize</t>
  </si>
  <si>
    <t>As bonus action, touch a 0 HP creature to stabilize it instantly (no roll).</t>
  </si>
  <si>
    <t>Spellcasting — Cleric ~5-7</t>
  </si>
  <si>
    <t>Spell attack +6. Save DC 14. WIS-based. Slots: 1st x4, 2nd x3, 3rd x2. Cantrips: Sacred Flame, Spare the Dying, Thaumaturgy, Guidance. 1st: Cure Wounds (1d8+4), Healing Word (bonus action, 1d4+4), Bless, Shield of Faith. 2nd: Prayer of Healing (out of combat only), Spiritual Weapon (bonus action, 1d8+4 force). 3rd: Mass Healing Word (bonus action, 1d4+4 to 6 targets), Revivify.</t>
  </si>
  <si>
    <t>Stays behind line; prioritizes wounded below half HP. Uses Healing Word + cantrip combo. Break: withdraws if threatened. PRIORITY TARGET after sergeant.</t>
  </si>
  <si>
    <t>Heal Ally</t>
  </si>
  <si>
    <t>Cure Wounds (touch, 1d8+4 HP) or Healing Word (30 ft. bonus action, 1d4+4 HP).</t>
  </si>
  <si>
    <t>Bless</t>
  </si>
  <si>
    <t>Concentration 1 min. Up to 3 creatures within 30 ft. add 1d4 to attack rolls and saves.</t>
  </si>
  <si>
    <t>Field Deception Specialist</t>
  </si>
  <si>
    <t>Pre-battle misdirection, decoys, false terrain</t>
  </si>
  <si>
    <t>Medium humanoid (elf or hobgoblin), neutral</t>
  </si>
  <si>
    <t>Cantrip — fallback only</t>
  </si>
  <si>
    <t>Hypnotic Pattern</t>
  </si>
  <si>
    <t>DC 15 WIS</t>
  </si>
  <si>
    <t>3rd — emergency crowd control. 30-ft cube; incapacitated + speed 0. Concentration 1 min.</t>
  </si>
  <si>
    <t>Phantasmal Force</t>
  </si>
  <si>
    <t>1d6 psychic</t>
  </si>
  <si>
    <t>DC 15 INT</t>
  </si>
  <si>
    <t>2nd — target believes illusion is real; 1d6 psychic/round. Concentration.</t>
  </si>
  <si>
    <t>Illusionist School</t>
  </si>
  <si>
    <t>Malleable Illusions: can reshape an active illusion spell as an action. Minor Illusion affects sound AND image simultaneously.</t>
  </si>
  <si>
    <t>Nondetection (Passive)</t>
  </si>
  <si>
    <t>Protected from all divination magic at all times.</t>
  </si>
  <si>
    <t>Spellcasting — Wizard Illusion ~11</t>
  </si>
  <si>
    <t>Spell attack +6. Save DC 15. INT-based. Slots: 1st x4, 2nd x3, 3rd x3, 4th x1, 5th x1, 6th x1. Cantrips: Minor Illusion, Mage Hand, Message, Fire Bolt. 1st: Disguise Self, Silent Image, Fog Cloud. 2nd: Mirror Image, Invisibility, Phantasmal Force. 3rd: Major Image (permanent once/day), Hypnotic Pattern, Nondetection. 4th: Greater Invisibility, Hallucinatory Terrain (pre-battle). 5th/6th: Mislead or Programmed Illusion.</t>
  </si>
  <si>
    <t>Pre-battle: Hallucinatory Terrain. During combat: Major Image decoys. Invisible repositioning. May be indistinguishable from other personnel until casting. Break: immediately retreats via Invisibility or Misty Step if discovered.</t>
  </si>
  <si>
    <t>Major Image</t>
  </si>
  <si>
    <t>20-ft cube illusion within 120 ft. Affects sight, sound, smell, temperature. Concentration 10 min. Once/day: if maintained full duration, becomes permanent.</t>
  </si>
  <si>
    <t>Disguise Self</t>
  </si>
  <si>
    <t>Changes apparent appearance. Lasts 1 hour. DC 15 Investigation to disbelieve.</t>
  </si>
  <si>
    <t>Elemental Ritual Cultist</t>
  </si>
  <si>
    <t>Maintains fire portal connection — does not fight</t>
  </si>
  <si>
    <t>Medium humanoid (cultist), chaotic neutral</t>
  </si>
  <si>
    <t>fire (while portal Stage 2+)</t>
  </si>
  <si>
    <t>passive Perception 10</t>
  </si>
  <si>
    <t>Elemental Ward</t>
  </si>
  <si>
    <t>While portal Stage 2+: advantage on elemental saves; resistance to all elemental damage.</t>
  </si>
  <si>
    <t>Ritual Trance</t>
  </si>
  <si>
    <t>Does not attack, cast spells, or make opportunity attacks. Disadvantage on Perception.</t>
  </si>
  <si>
    <t>Bound to Fire Focus</t>
  </si>
  <si>
    <t>Connection persists until caster is stopped AND focus is stolen/disabled/dispelled/destroyed.</t>
  </si>
  <si>
    <t>Nonviolent Disruption</t>
  </si>
  <si>
    <t>DC 16 Persuasion/Intimidation/Religion/Arcana (break chant); DC 15 Athletics (drag from circle); Dispel Magic DC 16; Silence/stun/paralysis/incapacitation also works.</t>
  </si>
  <si>
    <t>Elemental Focus</t>
  </si>
  <si>
    <t>AC 15, HP 20, Damage Threshold 5. Immune: poison, psychic. Steal: SoH DC 16 or Athletics DC 15. Disable runes: Arcana/Religion DC 16. Dispel: DC 16.</t>
  </si>
  <si>
    <t>Continue Ritual</t>
  </si>
  <si>
    <t>Maintains red/fire connection to the elemental portal.</t>
  </si>
  <si>
    <t>Cry Out</t>
  </si>
  <si>
    <t>Trigger: when attacked or focus touched. One nearby defender or elemental moves 10 ft. toward this anchor as a reaction.</t>
  </si>
  <si>
    <t>Violent Backlash — if killed or focus destroyed</t>
  </si>
  <si>
    <t>Roll d6 when anchor ends violently. 1-2: Fire Detonation — 20-ft radius, DC 16 DEX, 8d6 fire. 3-4: Fire Birth — fire elemental appears. 5-6: Fire Rift — fire fountain; entering/starting within 10 ft. takes 2d6 fire.</t>
  </si>
  <si>
    <t>Maintains earth portal connection — does not fight</t>
  </si>
  <si>
    <t>bludgeoning (while portal Stage 2+)</t>
  </si>
  <si>
    <t>Bound to Earth Focus</t>
  </si>
  <si>
    <t>DC 16 Persuasion/Intimidation/Religion/Arcana; DC 15 Athletics; Dispel Magic DC 16; Silence/stun/paralysis/incapacitation.</t>
  </si>
  <si>
    <t>AC 15, HP 20, Damage Threshold 5. Steal: SoH DC 16 / Athletics DC 15. Disable: Arcana/Religion DC 16. Dispel: DC 16.</t>
  </si>
  <si>
    <t>Maintains orange/earth connection to the elemental portal.</t>
  </si>
  <si>
    <t>One nearby defender or elemental moves 10 ft. toward this anchor as a reaction.</t>
  </si>
  <si>
    <t>1-2: Stone Detonation — 20-ft radius, DC 16 DEX or STR, 8d6 bludgeoning; prone on fail. 3-4: Stone Birth — earth elemental appears. 5-6: Earth Rift — difficult terrain; DC 16 DEX or fall into 10-ft crack.</t>
  </si>
  <si>
    <t>Maintains water portal connection — does not fight</t>
  </si>
  <si>
    <t>cold (while portal Stage 2+)</t>
  </si>
  <si>
    <t>Bound to Water Focus</t>
  </si>
  <si>
    <t>AC 15, HP 20, Damage Threshold 5.</t>
  </si>
  <si>
    <t>Maintains blue/water connection to the elemental portal.</t>
  </si>
  <si>
    <t>1-2: Steam Detonation — 20-ft radius, DC 16 CON, 8d6 scalding; blinded until end of next turn on fail. 3-4: Water Birth — water elemental appears. 5-6: Water Rift — difficult terrain; DC 16 STR or pushed 10 ft.</t>
  </si>
  <si>
    <t>Maintains air portal connection — does not fight</t>
  </si>
  <si>
    <t>lightning, thunder (while portal Stage 2+)</t>
  </si>
  <si>
    <t>Bound to Air Focus</t>
  </si>
  <si>
    <t>Maintains yellow/air connection to the elemental portal.</t>
  </si>
  <si>
    <t>1-2: Wind Detonation — 20-ft radius, DC 16 STR, 8d6 force; pushed 20 ft. and prone on fail. 3-4: Air Birth — air elemental appears. 5-6: Air Rift — wind wall; ranged attacks through it at disadvantage; DC 16 STR to cross or pushed 15 ft.</t>
  </si>
  <si>
    <t>red boots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</si>
</sst>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Aptos Narrow"/>
      <family val="2"/>
      <scheme val="minor"/>
    </font>
    <font>
      <b/>
      <sz val="11"/>
      <color theme="1"/>
      <name val="Aptos Narrow"/>
      <family val="2"/>
      <scheme val="minor"/>
    </font>
    <font>
      <sz val="11"/>
      <color rgb="FF000000"/>
      <name val="Aptos Narrow"/>
      <family val="2"/>
      <scheme val="minor"/>
    </font>
    <font>
      <i/>
      <sz val="9"/>
      <color rgb="FF808080"/>
      <name val="Aptos Narrow"/>
      <family val="2"/>
      <scheme val="minor"/>
    </font>
    <font>
      <sz val="11"/>
      <color rgb="FF0000FF"/>
      <name val="Aptos Narrow"/>
      <family val="2"/>
      <scheme val="minor"/>
    </font>
    <font>
      <b/>
      <sz val="11"/>
      <color rgb="FF0000FF"/>
      <name val="Aptos Narrow"/>
      <family val="2"/>
      <scheme val="minor"/>
    </font>
    <font>
      <b/>
      <sz val="11"/>
      <color rgb="FFFFFFFF"/>
      <name val="Aptos Narrow"/>
      <family val="2"/>
      <scheme val="minor"/>
    </font>
    <font>
      <b/>
      <sz val="14"/>
      <color rgb="FFFFFFFF"/>
      <name val="Aptos Narrow"/>
      <family val="2"/>
      <scheme val="minor"/>
    </font>
  </fonts>
  <fills count="5">
    <fill>
      <patternFill patternType="none"/>
    </fill>
    <fill>
      <patternFill patternType="gray125"/>
    </fill>
    <fill>
      <patternFill patternType="solid">
        <fgColor rgb="FF2F528F"/>
        <bgColor indexed="64"/>
      </patternFill>
    </fill>
    <fill>
      <patternFill patternType="solid">
        <fgColor rgb="FF44546A"/>
        <bgColor indexed="64"/>
      </patternFill>
    </fill>
    <fill>
      <patternFill patternType="solid">
        <fgColor rgb="FFD9D9D9"/>
        <bgColor indexed="64"/>
      </patternFill>
    </fill>
  </fills>
  <borders count="4">
    <border>
      <left/>
      <right/>
      <top/>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0" borderId="0" xfId="0" applyFont="1"/>
    <xf numFmtId="0" fontId="1" fillId="0" borderId="0" xfId="0" applyFont="1"/>
    <xf numFmtId="0" fontId="4" fillId="0" borderId="0" xfId="0" applyFont="1" applyAlignment="1">
      <alignment horizontal="center"/>
    </xf>
    <xf numFmtId="0" fontId="0" fillId="0" borderId="0" xfId="0" applyAlignment="1">
      <alignment vertical="top" wrapText="1"/>
    </xf>
    <xf numFmtId="0" fontId="1" fillId="0" borderId="2" xfId="0" applyFont="1" applyBorder="1" applyAlignment="1">
      <alignment vertical="top" wrapText="1"/>
    </xf>
    <xf numFmtId="0" fontId="4" fillId="0" borderId="2" xfId="0" applyFont="1" applyBorder="1" applyAlignment="1">
      <alignment vertical="top" wrapText="1"/>
    </xf>
    <xf numFmtId="0" fontId="0" fillId="4" borderId="2" xfId="0" applyFill="1" applyBorder="1" applyAlignment="1">
      <alignment vertical="top" wrapText="1"/>
    </xf>
    <xf numFmtId="0" fontId="1" fillId="4" borderId="2" xfId="0" applyFont="1" applyFill="1" applyBorder="1" applyAlignment="1">
      <alignment horizontal="center" vertical="top" wrapText="1"/>
    </xf>
    <xf numFmtId="0" fontId="4" fillId="0" borderId="2" xfId="0" applyFont="1" applyBorder="1" applyAlignment="1">
      <alignment horizontal="center" vertical="top" wrapText="1"/>
    </xf>
    <xf numFmtId="164" fontId="0" fillId="0" borderId="2" xfId="0" applyNumberFormat="1" applyBorder="1" applyAlignment="1">
      <alignment horizontal="center" vertical="top" wrapText="1"/>
    </xf>
    <xf numFmtId="0" fontId="0" fillId="0" borderId="2" xfId="0" applyBorder="1" applyAlignment="1">
      <alignment vertical="top" wrapText="1"/>
    </xf>
    <xf numFmtId="0" fontId="1" fillId="4" borderId="2" xfId="0" applyFont="1" applyFill="1" applyBorder="1" applyAlignment="1">
      <alignment vertical="top" wrapText="1"/>
    </xf>
    <xf numFmtId="0" fontId="5" fillId="4" borderId="2" xfId="0" applyFont="1" applyFill="1" applyBorder="1" applyAlignment="1">
      <alignment vertical="top" wrapText="1"/>
    </xf>
    <xf numFmtId="0" fontId="5" fillId="0" borderId="2" xfId="0" applyFont="1" applyBorder="1" applyAlignment="1">
      <alignment vertical="top" wrapText="1"/>
    </xf>
    <xf numFmtId="164" fontId="4" fillId="0" borderId="2" xfId="0" applyNumberFormat="1" applyFont="1" applyBorder="1" applyAlignment="1">
      <alignment horizontal="center" vertical="top" wrapText="1"/>
    </xf>
    <xf numFmtId="0" fontId="6" fillId="3" borderId="0" xfId="0" applyFont="1" applyFill="1"/>
    <xf numFmtId="0" fontId="6" fillId="3" borderId="0" xfId="0" applyFont="1" applyFill="1" applyAlignment="1">
      <alignment vertical="top" wrapText="1"/>
    </xf>
    <xf numFmtId="0" fontId="0" fillId="0" borderId="0" xfId="0"/>
    <xf numFmtId="0" fontId="4" fillId="0" borderId="2" xfId="0" applyFont="1" applyBorder="1" applyAlignment="1">
      <alignment vertical="top" wrapText="1"/>
    </xf>
    <xf numFmtId="0" fontId="0" fillId="0" borderId="1" xfId="0" applyBorder="1"/>
    <xf numFmtId="0" fontId="0" fillId="0" borderId="3" xfId="0" applyBorder="1"/>
    <xf numFmtId="0" fontId="1" fillId="4" borderId="2" xfId="0" applyFont="1" applyFill="1" applyBorder="1" applyAlignment="1">
      <alignment vertical="top" wrapText="1"/>
    </xf>
    <xf numFmtId="0" fontId="7" fillId="2" borderId="0" xfId="0" applyFont="1" applyFill="1" applyAlignment="1">
      <alignment horizontal="center" vertical="top" wrapText="1"/>
    </xf>
    <xf numFmtId="0" fontId="4" fillId="0" borderId="2" xfId="0" applyFont="1" applyBorder="1" applyAlignment="1">
      <alignment horizontal="left" vertical="top" wrapText="1"/>
    </xf>
    <xf numFmtId="164" fontId="2" fillId="0" borderId="2" xfId="0" applyNumberFormat="1" applyFont="1" applyBorder="1" applyAlignment="1">
      <alignment horizontal="left" vertical="top" wrapText="1"/>
    </xf>
    <xf numFmtId="164" fontId="4" fillId="0" borderId="2" xfId="0" applyNumberFormat="1" applyFont="1" applyBorder="1" applyAlignment="1">
      <alignment horizontal="left" vertical="top" wrapText="1"/>
    </xf>
    <xf numFmtId="0" fontId="4" fillId="0" borderId="2" xfId="0" applyFont="1" applyBorder="1" applyAlignment="1">
      <alignment wrapText="1"/>
    </xf>
  </cellXfs>
  <cellStyles count="1">
    <cellStyle name="Normal" xfId="0" builtinId="0"/>
  </cellStyles>
  <dxfs count="1">
    <dxf>
      <font>
        <b/>
        <strike val="0"/>
        <condense val="0"/>
        <extend val="0"/>
        <outline val="0"/>
        <shadow val="0"/>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counter" displayName="Encounter" ref="A1:H9" totalsRowShown="0" headerRowDxfId="0">
  <autoFilter ref="A1:H9" xr:uid="{00000000-0009-0000-0100-000001000000}"/>
  <tableColumns count="8">
    <tableColumn id="1" xr3:uid="{00000000-0010-0000-0000-000001000000}" name="Type"/>
    <tableColumn id="2" xr3:uid="{00000000-0010-0000-0000-000002000000}" name="Name"/>
    <tableColumn id="3" xr3:uid="{00000000-0010-0000-0000-000003000000}" name="NPC Source"/>
    <tableColumn id="4" xr3:uid="{00000000-0010-0000-0000-000004000000}" name="Quantity"/>
    <tableColumn id="5" xr3:uid="{00000000-0010-0000-0000-000005000000}" name="Group Name"/>
    <tableColumn id="6" xr3:uid="{00000000-0010-0000-0000-000006000000}" name="Initiative Mode"/>
    <tableColumn id="7" xr3:uid="{00000000-0010-0000-0000-000007000000}" name="HP Override"/>
    <tableColumn id="8" xr3:uid="{00000000-0010-0000-0000-000008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B1" workbookViewId="0">
      <selection activeCell="E18" sqref="E18"/>
    </sheetView>
  </sheetViews>
  <sheetFormatPr defaultRowHeight="15" x14ac:dyDescent="0.25"/>
  <cols>
    <col min="1" max="1" width="12.7109375" customWidth="1"/>
    <col min="2" max="2" width="23.5703125" customWidth="1"/>
    <col min="3" max="3" width="20" customWidth="1"/>
    <col min="4" max="4" width="12.7109375" customWidth="1"/>
    <col min="5" max="5" width="25.42578125" customWidth="1"/>
    <col min="6" max="6" width="21.85546875" customWidth="1"/>
    <col min="7" max="7" width="16.42578125" customWidth="1"/>
    <col min="8" max="8" width="47.28515625" customWidth="1"/>
  </cols>
  <sheetData>
    <row r="1" spans="1:8" x14ac:dyDescent="0.25">
      <c r="A1" s="2" t="s">
        <v>32</v>
      </c>
      <c r="B1" s="2" t="s">
        <v>1</v>
      </c>
      <c r="C1" s="2" t="s">
        <v>47</v>
      </c>
      <c r="D1" s="2" t="s">
        <v>48</v>
      </c>
      <c r="E1" s="2" t="s">
        <v>49</v>
      </c>
      <c r="F1" s="2" t="s">
        <v>50</v>
      </c>
      <c r="G1" s="2" t="s">
        <v>51</v>
      </c>
      <c r="H1" s="2" t="s">
        <v>52</v>
      </c>
    </row>
    <row r="2" spans="1:8" x14ac:dyDescent="0.25">
      <c r="A2" t="s">
        <v>53</v>
      </c>
      <c r="B2" t="s">
        <v>54</v>
      </c>
      <c r="C2" t="s">
        <v>54</v>
      </c>
      <c r="D2">
        <v>1</v>
      </c>
      <c r="F2" t="s">
        <v>55</v>
      </c>
    </row>
    <row r="3" spans="1:8" x14ac:dyDescent="0.25">
      <c r="A3" t="s">
        <v>53</v>
      </c>
      <c r="B3" t="s">
        <v>56</v>
      </c>
      <c r="C3" t="s">
        <v>56</v>
      </c>
      <c r="D3">
        <v>1</v>
      </c>
      <c r="F3" t="s">
        <v>55</v>
      </c>
    </row>
    <row r="4" spans="1:8" x14ac:dyDescent="0.25">
      <c r="A4" t="s">
        <v>53</v>
      </c>
      <c r="B4" t="s">
        <v>57</v>
      </c>
      <c r="C4" t="s">
        <v>57</v>
      </c>
      <c r="D4">
        <v>1</v>
      </c>
      <c r="F4" t="s">
        <v>55</v>
      </c>
    </row>
    <row r="5" spans="1:8" x14ac:dyDescent="0.25">
      <c r="A5" t="s">
        <v>53</v>
      </c>
      <c r="B5" t="s">
        <v>58</v>
      </c>
      <c r="C5" t="s">
        <v>58</v>
      </c>
      <c r="D5">
        <v>1</v>
      </c>
      <c r="F5" t="s">
        <v>55</v>
      </c>
    </row>
    <row r="6" spans="1:8" x14ac:dyDescent="0.25">
      <c r="A6" t="s">
        <v>53</v>
      </c>
      <c r="B6" t="s">
        <v>59</v>
      </c>
      <c r="C6" t="s">
        <v>59</v>
      </c>
      <c r="D6">
        <v>1</v>
      </c>
      <c r="F6" t="s">
        <v>55</v>
      </c>
    </row>
    <row r="7" spans="1:8" x14ac:dyDescent="0.25">
      <c r="A7" t="s">
        <v>60</v>
      </c>
      <c r="B7" t="s">
        <v>61</v>
      </c>
      <c r="C7" t="s">
        <v>61</v>
      </c>
      <c r="D7">
        <v>1</v>
      </c>
      <c r="F7" t="s">
        <v>55</v>
      </c>
    </row>
    <row r="8" spans="1:8" x14ac:dyDescent="0.25">
      <c r="A8" t="s">
        <v>60</v>
      </c>
      <c r="B8" t="s">
        <v>62</v>
      </c>
      <c r="C8" t="s">
        <v>62</v>
      </c>
      <c r="D8">
        <v>1</v>
      </c>
      <c r="F8" t="s">
        <v>55</v>
      </c>
    </row>
    <row r="9" spans="1:8" x14ac:dyDescent="0.25">
      <c r="A9" t="s">
        <v>60</v>
      </c>
      <c r="B9" t="s">
        <v>63</v>
      </c>
      <c r="D9">
        <v>3</v>
      </c>
      <c r="E9" t="s">
        <v>64</v>
      </c>
      <c r="F9" t="s">
        <v>65</v>
      </c>
      <c r="G9">
        <v>10</v>
      </c>
      <c r="H9" t="s">
        <v>66</v>
      </c>
    </row>
    <row r="10" spans="1:8" x14ac:dyDescent="0.25">
      <c r="A10" t="s">
        <v>60</v>
      </c>
      <c r="B10" t="s">
        <v>2</v>
      </c>
      <c r="C10" t="s">
        <v>2</v>
      </c>
      <c r="D10">
        <v>5</v>
      </c>
      <c r="E10" t="s">
        <v>365</v>
      </c>
      <c r="F10" t="s">
        <v>55</v>
      </c>
    </row>
    <row r="11" spans="1:8" x14ac:dyDescent="0.25">
      <c r="A11" t="s">
        <v>60</v>
      </c>
      <c r="B11" t="s">
        <v>67</v>
      </c>
      <c r="C11" t="s">
        <v>67</v>
      </c>
      <c r="D11">
        <v>0</v>
      </c>
      <c r="F11" t="s">
        <v>55</v>
      </c>
      <c r="H11" t="s">
        <v>68</v>
      </c>
    </row>
    <row r="12" spans="1:8" x14ac:dyDescent="0.25">
      <c r="A12" t="s">
        <v>60</v>
      </c>
      <c r="B12" t="s">
        <v>69</v>
      </c>
      <c r="C12" t="s">
        <v>69</v>
      </c>
      <c r="D12">
        <v>0</v>
      </c>
      <c r="F12" t="s">
        <v>55</v>
      </c>
      <c r="H12" t="s">
        <v>70</v>
      </c>
    </row>
    <row r="13" spans="1:8" x14ac:dyDescent="0.25">
      <c r="A13" t="s">
        <v>60</v>
      </c>
      <c r="B13" t="s">
        <v>71</v>
      </c>
      <c r="C13" t="s">
        <v>71</v>
      </c>
      <c r="D13">
        <v>0</v>
      </c>
      <c r="F13" t="s">
        <v>55</v>
      </c>
      <c r="H13" t="s">
        <v>72</v>
      </c>
    </row>
    <row r="14" spans="1:8" x14ac:dyDescent="0.25">
      <c r="A14" t="s">
        <v>60</v>
      </c>
      <c r="B14" t="s">
        <v>73</v>
      </c>
      <c r="C14" t="s">
        <v>73</v>
      </c>
      <c r="D14">
        <v>0</v>
      </c>
      <c r="F14" t="s">
        <v>55</v>
      </c>
      <c r="H14" t="s">
        <v>74</v>
      </c>
    </row>
    <row r="15" spans="1:8" x14ac:dyDescent="0.25">
      <c r="A15" t="s">
        <v>60</v>
      </c>
      <c r="B15" t="s">
        <v>75</v>
      </c>
      <c r="C15" t="s">
        <v>75</v>
      </c>
      <c r="D15">
        <v>0</v>
      </c>
      <c r="F15" t="s">
        <v>55</v>
      </c>
      <c r="H15" t="s">
        <v>76</v>
      </c>
    </row>
    <row r="16" spans="1:8" x14ac:dyDescent="0.25">
      <c r="A16" t="s">
        <v>60</v>
      </c>
      <c r="B16" t="s">
        <v>77</v>
      </c>
      <c r="C16" t="s">
        <v>77</v>
      </c>
      <c r="D16">
        <v>0</v>
      </c>
      <c r="F16" t="s">
        <v>55</v>
      </c>
      <c r="H16" t="s">
        <v>78</v>
      </c>
    </row>
    <row r="17" spans="1:8" x14ac:dyDescent="0.25">
      <c r="A17" t="s">
        <v>60</v>
      </c>
      <c r="B17" t="s">
        <v>79</v>
      </c>
      <c r="C17" t="s">
        <v>79</v>
      </c>
      <c r="D17">
        <v>0</v>
      </c>
      <c r="F17" t="s">
        <v>55</v>
      </c>
      <c r="H17" t="s">
        <v>80</v>
      </c>
    </row>
    <row r="18" spans="1:8" x14ac:dyDescent="0.25">
      <c r="A18" t="s">
        <v>60</v>
      </c>
      <c r="B18" t="s">
        <v>81</v>
      </c>
      <c r="C18" t="s">
        <v>81</v>
      </c>
      <c r="D18">
        <v>0</v>
      </c>
      <c r="F18" t="s">
        <v>55</v>
      </c>
      <c r="H18" t="s">
        <v>82</v>
      </c>
    </row>
    <row r="19" spans="1:8" x14ac:dyDescent="0.25">
      <c r="A19" t="s">
        <v>60</v>
      </c>
      <c r="B19" t="s">
        <v>83</v>
      </c>
      <c r="C19" t="s">
        <v>83</v>
      </c>
      <c r="D19">
        <v>0</v>
      </c>
      <c r="F19" t="s">
        <v>55</v>
      </c>
      <c r="H19" t="s">
        <v>82</v>
      </c>
    </row>
    <row r="20" spans="1:8" x14ac:dyDescent="0.25">
      <c r="A20" t="s">
        <v>60</v>
      </c>
      <c r="B20" t="s">
        <v>84</v>
      </c>
      <c r="C20" t="s">
        <v>84</v>
      </c>
      <c r="D20">
        <v>0</v>
      </c>
      <c r="F20" t="s">
        <v>55</v>
      </c>
      <c r="H20" t="s">
        <v>82</v>
      </c>
    </row>
    <row r="21" spans="1:8" x14ac:dyDescent="0.25">
      <c r="A21" t="s">
        <v>60</v>
      </c>
      <c r="B21" t="s">
        <v>85</v>
      </c>
      <c r="C21" t="s">
        <v>85</v>
      </c>
      <c r="D21">
        <v>0</v>
      </c>
      <c r="F21" t="s">
        <v>55</v>
      </c>
      <c r="H21" t="s">
        <v>82</v>
      </c>
    </row>
  </sheetData>
  <dataValidations count="2">
    <dataValidation type="list" allowBlank="1" showInputMessage="1" showErrorMessage="1" sqref="A2:A200" xr:uid="{00000000-0002-0000-0000-000000000000}">
      <formula1>"PC,NPC,Ally,Hazard,Event"</formula1>
    </dataValidation>
    <dataValidation type="list" allowBlank="1" showInputMessage="1" showErrorMessage="1" sqref="F2:F200" xr:uid="{00000000-0002-0000-0000-000001000000}">
      <formula1>"Individual,Shared,Grouped Attacks,Mob"</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4"/>
  <sheetViews>
    <sheetView topLeftCell="B1" workbookViewId="0">
      <selection activeCell="B15" sqref="B15"/>
    </sheetView>
  </sheetViews>
  <sheetFormatPr defaultRowHeight="15" x14ac:dyDescent="0.25"/>
  <cols>
    <col min="1" max="1" width="30" customWidth="1"/>
    <col min="2" max="8" width="16.7109375" customWidth="1"/>
  </cols>
  <sheetData>
    <row r="1" spans="1:11" ht="18.600000000000001" customHeight="1" x14ac:dyDescent="0.25">
      <c r="A1" s="23" t="s">
        <v>0</v>
      </c>
      <c r="B1" s="18"/>
      <c r="C1" s="18"/>
      <c r="D1" s="18"/>
      <c r="E1" s="18"/>
      <c r="F1" s="18"/>
      <c r="G1" s="18"/>
      <c r="H1" s="18"/>
      <c r="J1" s="16" t="s">
        <v>86</v>
      </c>
    </row>
    <row r="2" spans="1:11" x14ac:dyDescent="0.25">
      <c r="A2" s="4"/>
      <c r="B2" s="4"/>
      <c r="C2" s="4"/>
      <c r="D2" s="4"/>
      <c r="E2" s="4"/>
      <c r="F2" s="4"/>
      <c r="G2" s="4"/>
      <c r="H2" s="4"/>
      <c r="J2" s="2" t="s">
        <v>87</v>
      </c>
      <c r="K2" s="3">
        <v>3</v>
      </c>
    </row>
    <row r="3" spans="1:11" x14ac:dyDescent="0.25">
      <c r="A3" s="5" t="s">
        <v>1</v>
      </c>
      <c r="B3" s="19" t="s">
        <v>61</v>
      </c>
      <c r="C3" s="20"/>
      <c r="D3" s="20"/>
      <c r="E3" s="20"/>
      <c r="F3" s="20"/>
      <c r="G3" s="20"/>
      <c r="H3" s="21"/>
      <c r="J3" s="1" t="s">
        <v>88</v>
      </c>
    </row>
    <row r="4" spans="1:11" x14ac:dyDescent="0.25">
      <c r="A4" s="5" t="s">
        <v>3</v>
      </c>
      <c r="B4" s="19" t="s">
        <v>89</v>
      </c>
      <c r="C4" s="20"/>
      <c r="D4" s="20"/>
      <c r="E4" s="20"/>
      <c r="F4" s="20"/>
      <c r="G4" s="20"/>
      <c r="H4" s="21"/>
    </row>
    <row r="5" spans="1:11" x14ac:dyDescent="0.25">
      <c r="A5" s="5" t="s">
        <v>4</v>
      </c>
      <c r="B5" s="19" t="s">
        <v>90</v>
      </c>
      <c r="C5" s="20"/>
      <c r="D5" s="20"/>
      <c r="E5" s="20"/>
      <c r="F5" s="20"/>
      <c r="G5" s="20"/>
      <c r="H5" s="21"/>
    </row>
    <row r="6" spans="1:11" x14ac:dyDescent="0.25">
      <c r="A6" s="5" t="s">
        <v>6</v>
      </c>
      <c r="B6" s="19" t="s">
        <v>91</v>
      </c>
      <c r="C6" s="20"/>
      <c r="D6" s="20"/>
      <c r="E6" s="20"/>
      <c r="F6" s="20"/>
      <c r="G6" s="20"/>
      <c r="H6" s="21"/>
    </row>
    <row r="7" spans="1:11" x14ac:dyDescent="0.25">
      <c r="A7" s="5" t="s">
        <v>8</v>
      </c>
      <c r="B7" s="24">
        <v>18</v>
      </c>
      <c r="C7" s="20"/>
      <c r="D7" s="20"/>
      <c r="E7" s="20"/>
      <c r="F7" s="20"/>
      <c r="G7" s="20"/>
      <c r="H7" s="21"/>
    </row>
    <row r="8" spans="1:11" x14ac:dyDescent="0.25">
      <c r="A8" s="5" t="s">
        <v>9</v>
      </c>
      <c r="B8" s="24">
        <v>285</v>
      </c>
      <c r="C8" s="20"/>
      <c r="D8" s="20"/>
      <c r="E8" s="20"/>
      <c r="F8" s="20"/>
      <c r="G8" s="20"/>
      <c r="H8" s="21"/>
    </row>
    <row r="9" spans="1:11" x14ac:dyDescent="0.25">
      <c r="A9" s="5" t="s">
        <v>10</v>
      </c>
      <c r="B9" s="19" t="s">
        <v>92</v>
      </c>
      <c r="C9" s="20"/>
      <c r="D9" s="20"/>
      <c r="E9" s="20"/>
      <c r="F9" s="20"/>
      <c r="G9" s="20"/>
      <c r="H9" s="21"/>
    </row>
    <row r="10" spans="1:11" x14ac:dyDescent="0.25">
      <c r="A10" s="5" t="s">
        <v>12</v>
      </c>
      <c r="B10" s="26">
        <v>4</v>
      </c>
      <c r="C10" s="20"/>
      <c r="D10" s="20"/>
      <c r="E10" s="20"/>
      <c r="F10" s="20"/>
      <c r="G10" s="20"/>
      <c r="H10" s="21"/>
    </row>
    <row r="11" spans="1:11" x14ac:dyDescent="0.25">
      <c r="A11" s="5" t="s">
        <v>13</v>
      </c>
      <c r="B11" s="25">
        <f>C16</f>
        <v>-1</v>
      </c>
      <c r="C11" s="20"/>
      <c r="D11" s="20"/>
      <c r="E11" s="20"/>
      <c r="F11" s="20"/>
      <c r="G11" s="20"/>
      <c r="H11" s="21"/>
    </row>
    <row r="12" spans="1:11" x14ac:dyDescent="0.25">
      <c r="A12" s="4"/>
      <c r="B12" s="4"/>
      <c r="C12" s="4"/>
      <c r="D12" s="4"/>
      <c r="E12" s="4"/>
      <c r="F12" s="4"/>
      <c r="G12" s="4"/>
      <c r="H12" s="4"/>
    </row>
    <row r="13" spans="1:11" x14ac:dyDescent="0.25">
      <c r="A13" s="17" t="s">
        <v>14</v>
      </c>
      <c r="B13" s="18"/>
      <c r="C13" s="18"/>
      <c r="D13" s="18"/>
      <c r="E13" s="18"/>
      <c r="F13" s="18"/>
      <c r="G13" s="18"/>
      <c r="H13" s="18"/>
    </row>
    <row r="14" spans="1:11" x14ac:dyDescent="0.25">
      <c r="A14" s="7"/>
      <c r="B14" s="8" t="s">
        <v>15</v>
      </c>
      <c r="C14" s="8" t="s">
        <v>16</v>
      </c>
      <c r="D14" s="8" t="s">
        <v>17</v>
      </c>
      <c r="E14" s="8" t="s">
        <v>18</v>
      </c>
      <c r="F14" s="8" t="s">
        <v>19</v>
      </c>
      <c r="G14" s="8" t="s">
        <v>20</v>
      </c>
      <c r="H14" s="4"/>
    </row>
    <row r="15" spans="1:11" x14ac:dyDescent="0.25">
      <c r="A15" s="5" t="s">
        <v>21</v>
      </c>
      <c r="B15" s="9">
        <v>24</v>
      </c>
      <c r="C15" s="9">
        <v>8</v>
      </c>
      <c r="D15" s="9">
        <v>22</v>
      </c>
      <c r="E15" s="9">
        <v>8</v>
      </c>
      <c r="F15" s="9">
        <v>13</v>
      </c>
      <c r="G15" s="9">
        <v>11</v>
      </c>
      <c r="H15" s="4"/>
    </row>
    <row r="16" spans="1:11" x14ac:dyDescent="0.25">
      <c r="A16" s="5" t="s">
        <v>22</v>
      </c>
      <c r="B16" s="10">
        <f t="shared" ref="B16:G16" si="0">INT((B15-10)/2)</f>
        <v>7</v>
      </c>
      <c r="C16" s="10">
        <f t="shared" si="0"/>
        <v>-1</v>
      </c>
      <c r="D16" s="10">
        <f t="shared" si="0"/>
        <v>6</v>
      </c>
      <c r="E16" s="10">
        <f t="shared" si="0"/>
        <v>-1</v>
      </c>
      <c r="F16" s="10">
        <f t="shared" si="0"/>
        <v>1</v>
      </c>
      <c r="G16" s="10">
        <f t="shared" si="0"/>
        <v>0</v>
      </c>
      <c r="H16" s="4"/>
    </row>
    <row r="17" spans="1:8" x14ac:dyDescent="0.25">
      <c r="A17" s="5" t="s">
        <v>23</v>
      </c>
      <c r="B17" s="9" t="s">
        <v>93</v>
      </c>
      <c r="C17" s="11"/>
      <c r="D17" s="9" t="s">
        <v>93</v>
      </c>
      <c r="E17" s="11"/>
      <c r="F17" s="9" t="s">
        <v>93</v>
      </c>
      <c r="G17" s="11"/>
      <c r="H17" s="4"/>
    </row>
    <row r="18" spans="1:8" x14ac:dyDescent="0.25">
      <c r="A18" s="5" t="s">
        <v>24</v>
      </c>
      <c r="B18" s="10">
        <f t="shared" ref="B18:G18" si="1">B16+IF(B17="Y",$B$10,0)</f>
        <v>11</v>
      </c>
      <c r="C18" s="10">
        <f t="shared" si="1"/>
        <v>-1</v>
      </c>
      <c r="D18" s="10">
        <f t="shared" si="1"/>
        <v>10</v>
      </c>
      <c r="E18" s="10">
        <f t="shared" si="1"/>
        <v>-1</v>
      </c>
      <c r="F18" s="10">
        <f t="shared" si="1"/>
        <v>5</v>
      </c>
      <c r="G18" s="10">
        <f t="shared" si="1"/>
        <v>0</v>
      </c>
      <c r="H18" s="4"/>
    </row>
    <row r="19" spans="1:8" x14ac:dyDescent="0.25">
      <c r="A19" s="4"/>
      <c r="B19" s="4"/>
      <c r="C19" s="4"/>
      <c r="D19" s="4"/>
      <c r="E19" s="4"/>
      <c r="F19" s="4"/>
      <c r="G19" s="4"/>
      <c r="H19" s="4"/>
    </row>
    <row r="20" spans="1:8" x14ac:dyDescent="0.25">
      <c r="A20" s="17" t="s">
        <v>25</v>
      </c>
      <c r="B20" s="18"/>
      <c r="C20" s="18"/>
      <c r="D20" s="18"/>
      <c r="E20" s="18"/>
      <c r="F20" s="18"/>
      <c r="G20" s="18"/>
      <c r="H20" s="18"/>
    </row>
    <row r="21" spans="1:8" x14ac:dyDescent="0.25">
      <c r="A21" s="5" t="s">
        <v>26</v>
      </c>
      <c r="B21" s="19" t="s">
        <v>94</v>
      </c>
      <c r="C21" s="20"/>
      <c r="D21" s="20"/>
      <c r="E21" s="20"/>
      <c r="F21" s="20"/>
      <c r="G21" s="20"/>
      <c r="H21" s="21"/>
    </row>
    <row r="22" spans="1:8" x14ac:dyDescent="0.25">
      <c r="A22" s="5" t="s">
        <v>27</v>
      </c>
      <c r="B22" s="19" t="s">
        <v>95</v>
      </c>
      <c r="C22" s="20"/>
      <c r="D22" s="20"/>
      <c r="E22" s="20"/>
      <c r="F22" s="20"/>
      <c r="G22" s="20"/>
      <c r="H22" s="21"/>
    </row>
    <row r="23" spans="1:8" x14ac:dyDescent="0.25">
      <c r="A23" s="5" t="s">
        <v>28</v>
      </c>
      <c r="B23" s="19" t="s">
        <v>96</v>
      </c>
      <c r="C23" s="20"/>
      <c r="D23" s="20"/>
      <c r="E23" s="20"/>
      <c r="F23" s="20"/>
      <c r="G23" s="20"/>
      <c r="H23" s="21"/>
    </row>
    <row r="24" spans="1:8" x14ac:dyDescent="0.25">
      <c r="A24" s="5" t="s">
        <v>29</v>
      </c>
      <c r="B24" s="19" t="s">
        <v>97</v>
      </c>
      <c r="C24" s="20"/>
      <c r="D24" s="20"/>
      <c r="E24" s="20"/>
      <c r="F24" s="20"/>
      <c r="G24" s="20"/>
      <c r="H24" s="21"/>
    </row>
    <row r="25" spans="1:8" x14ac:dyDescent="0.25">
      <c r="A25" s="4"/>
      <c r="B25" s="4"/>
      <c r="C25" s="4"/>
      <c r="D25" s="4"/>
      <c r="E25" s="4"/>
      <c r="F25" s="4"/>
      <c r="G25" s="4"/>
      <c r="H25" s="4"/>
    </row>
    <row r="26" spans="1:8" x14ac:dyDescent="0.25">
      <c r="A26" s="17" t="s">
        <v>31</v>
      </c>
      <c r="B26" s="18"/>
      <c r="C26" s="18"/>
      <c r="D26" s="18"/>
      <c r="E26" s="18"/>
      <c r="F26" s="18"/>
      <c r="G26" s="18"/>
      <c r="H26" s="18"/>
    </row>
    <row r="27" spans="1:8" x14ac:dyDescent="0.25">
      <c r="A27" s="12" t="s">
        <v>1</v>
      </c>
      <c r="B27" s="13" t="s">
        <v>32</v>
      </c>
      <c r="C27" s="8" t="s">
        <v>33</v>
      </c>
      <c r="D27" s="12" t="s">
        <v>34</v>
      </c>
      <c r="E27" s="12" t="s">
        <v>35</v>
      </c>
      <c r="F27" s="12" t="s">
        <v>36</v>
      </c>
      <c r="G27" s="22" t="s">
        <v>37</v>
      </c>
      <c r="H27" s="21"/>
    </row>
    <row r="28" spans="1:8" ht="30" customHeight="1" x14ac:dyDescent="0.25">
      <c r="A28" s="14" t="s">
        <v>98</v>
      </c>
      <c r="B28" s="6" t="s">
        <v>39</v>
      </c>
      <c r="C28" s="15">
        <v>11</v>
      </c>
      <c r="D28" s="6" t="s">
        <v>99</v>
      </c>
      <c r="E28" s="6" t="s">
        <v>100</v>
      </c>
      <c r="F28" s="6" t="s">
        <v>101</v>
      </c>
      <c r="G28" s="19" t="s">
        <v>102</v>
      </c>
      <c r="H28" s="21"/>
    </row>
    <row r="29" spans="1:8" ht="29.1" customHeight="1" x14ac:dyDescent="0.25">
      <c r="A29" s="14" t="s">
        <v>103</v>
      </c>
      <c r="B29" s="6" t="s">
        <v>104</v>
      </c>
      <c r="C29" s="15">
        <v>11</v>
      </c>
      <c r="D29" s="6" t="s">
        <v>105</v>
      </c>
      <c r="E29" s="6" t="s">
        <v>106</v>
      </c>
      <c r="F29" s="6" t="s">
        <v>101</v>
      </c>
      <c r="G29" s="19" t="s">
        <v>107</v>
      </c>
      <c r="H29" s="21"/>
    </row>
    <row r="30" spans="1:8" x14ac:dyDescent="0.25">
      <c r="A30" s="4"/>
      <c r="B30" s="4"/>
      <c r="C30" s="4"/>
      <c r="D30" s="4"/>
      <c r="E30" s="4"/>
      <c r="F30" s="4"/>
      <c r="G30" s="4"/>
      <c r="H30" s="4"/>
    </row>
    <row r="31" spans="1:8" x14ac:dyDescent="0.25">
      <c r="A31" s="17" t="s">
        <v>43</v>
      </c>
      <c r="B31" s="18"/>
      <c r="C31" s="18"/>
      <c r="D31" s="18"/>
      <c r="E31" s="18"/>
      <c r="F31" s="18"/>
      <c r="G31" s="18"/>
      <c r="H31" s="18"/>
    </row>
    <row r="32" spans="1:8" x14ac:dyDescent="0.25">
      <c r="A32" s="12" t="s">
        <v>1</v>
      </c>
      <c r="B32" s="22" t="s">
        <v>44</v>
      </c>
      <c r="C32" s="20"/>
      <c r="D32" s="20"/>
      <c r="E32" s="20"/>
      <c r="F32" s="20"/>
      <c r="G32" s="20"/>
      <c r="H32" s="21"/>
    </row>
    <row r="33" spans="1:8" x14ac:dyDescent="0.25">
      <c r="A33" s="14" t="s">
        <v>108</v>
      </c>
      <c r="B33" s="19" t="s">
        <v>109</v>
      </c>
      <c r="C33" s="20"/>
      <c r="D33" s="20"/>
      <c r="E33" s="20"/>
      <c r="F33" s="20"/>
      <c r="G33" s="20"/>
      <c r="H33" s="21"/>
    </row>
    <row r="34" spans="1:8" x14ac:dyDescent="0.25">
      <c r="A34" s="14" t="s">
        <v>110</v>
      </c>
      <c r="B34" s="19" t="s">
        <v>111</v>
      </c>
      <c r="C34" s="20"/>
      <c r="D34" s="20"/>
      <c r="E34" s="20"/>
      <c r="F34" s="20"/>
      <c r="G34" s="20"/>
      <c r="H34" s="21"/>
    </row>
    <row r="35" spans="1:8" ht="29.1" customHeight="1" x14ac:dyDescent="0.25">
      <c r="A35" s="14" t="s">
        <v>112</v>
      </c>
      <c r="B35" s="19" t="s">
        <v>113</v>
      </c>
      <c r="C35" s="20"/>
      <c r="D35" s="20"/>
      <c r="E35" s="20"/>
      <c r="F35" s="20"/>
      <c r="G35" s="20"/>
      <c r="H35" s="21"/>
    </row>
    <row r="36" spans="1:8" x14ac:dyDescent="0.25">
      <c r="A36" s="14" t="s">
        <v>114</v>
      </c>
      <c r="B36" s="19" t="s">
        <v>115</v>
      </c>
      <c r="C36" s="20"/>
      <c r="D36" s="20"/>
      <c r="E36" s="20"/>
      <c r="F36" s="20"/>
      <c r="G36" s="20"/>
      <c r="H36" s="21"/>
    </row>
    <row r="37" spans="1:8" x14ac:dyDescent="0.25">
      <c r="A37" s="4"/>
      <c r="B37" s="4"/>
      <c r="C37" s="4"/>
      <c r="D37" s="4"/>
      <c r="E37" s="4"/>
      <c r="F37" s="4"/>
      <c r="G37" s="4"/>
      <c r="H37" s="4"/>
    </row>
    <row r="38" spans="1:8" x14ac:dyDescent="0.25">
      <c r="A38" s="17" t="s">
        <v>116</v>
      </c>
      <c r="B38" s="18"/>
      <c r="C38" s="18"/>
      <c r="D38" s="18"/>
      <c r="E38" s="18"/>
      <c r="F38" s="18"/>
      <c r="G38" s="18"/>
      <c r="H38" s="18"/>
    </row>
    <row r="39" spans="1:8" x14ac:dyDescent="0.25">
      <c r="A39" s="13" t="s">
        <v>1</v>
      </c>
      <c r="B39" s="13" t="s">
        <v>117</v>
      </c>
      <c r="C39" s="12" t="s">
        <v>36</v>
      </c>
      <c r="D39" s="22" t="s">
        <v>44</v>
      </c>
      <c r="E39" s="20"/>
      <c r="F39" s="20"/>
      <c r="G39" s="20"/>
      <c r="H39" s="21"/>
    </row>
    <row r="40" spans="1:8" x14ac:dyDescent="0.25">
      <c r="A40" s="14" t="s">
        <v>118</v>
      </c>
      <c r="B40" s="9" t="s">
        <v>42</v>
      </c>
      <c r="C40" s="9" t="s">
        <v>42</v>
      </c>
      <c r="D40" s="19" t="s">
        <v>119</v>
      </c>
      <c r="E40" s="20"/>
      <c r="F40" s="20"/>
      <c r="G40" s="20"/>
      <c r="H40" s="21"/>
    </row>
    <row r="41" spans="1:8" x14ac:dyDescent="0.25">
      <c r="A41" s="14" t="s">
        <v>120</v>
      </c>
      <c r="B41" s="9" t="s">
        <v>121</v>
      </c>
      <c r="C41" s="9" t="s">
        <v>101</v>
      </c>
      <c r="D41" s="19" t="s">
        <v>122</v>
      </c>
      <c r="E41" s="20"/>
      <c r="F41" s="20"/>
      <c r="G41" s="20"/>
      <c r="H41" s="21"/>
    </row>
    <row r="42" spans="1:8" x14ac:dyDescent="0.25">
      <c r="A42" s="4"/>
      <c r="B42" s="4"/>
      <c r="C42" s="4"/>
      <c r="D42" s="4"/>
      <c r="E42" s="4"/>
      <c r="F42" s="4"/>
      <c r="G42" s="4"/>
      <c r="H42" s="4"/>
    </row>
    <row r="43" spans="1:8" x14ac:dyDescent="0.25">
      <c r="A43" s="17" t="s">
        <v>123</v>
      </c>
      <c r="B43" s="18"/>
      <c r="C43" s="18"/>
      <c r="D43" s="18"/>
      <c r="E43" s="18"/>
      <c r="F43" s="18"/>
      <c r="G43" s="18"/>
      <c r="H43" s="18"/>
    </row>
    <row r="44" spans="1:8" x14ac:dyDescent="0.25">
      <c r="A44" s="13" t="s">
        <v>1</v>
      </c>
      <c r="B44" s="12" t="s">
        <v>117</v>
      </c>
      <c r="C44" s="12" t="s">
        <v>36</v>
      </c>
      <c r="D44" s="22" t="s">
        <v>44</v>
      </c>
      <c r="E44" s="20"/>
      <c r="F44" s="20"/>
      <c r="G44" s="20"/>
      <c r="H44" s="21"/>
    </row>
    <row r="45" spans="1:8" x14ac:dyDescent="0.25">
      <c r="A45" s="14" t="s">
        <v>124</v>
      </c>
      <c r="B45" s="9" t="s">
        <v>42</v>
      </c>
      <c r="C45" s="9" t="s">
        <v>125</v>
      </c>
      <c r="D45" s="19" t="s">
        <v>126</v>
      </c>
      <c r="E45" s="20"/>
      <c r="F45" s="20"/>
      <c r="G45" s="20"/>
      <c r="H45" s="21"/>
    </row>
    <row r="46" spans="1:8" x14ac:dyDescent="0.25">
      <c r="A46" s="14" t="s">
        <v>127</v>
      </c>
      <c r="B46" s="9" t="s">
        <v>128</v>
      </c>
      <c r="C46" s="9" t="s">
        <v>42</v>
      </c>
      <c r="D46" s="19" t="s">
        <v>129</v>
      </c>
      <c r="E46" s="20"/>
      <c r="F46" s="20"/>
      <c r="G46" s="20"/>
      <c r="H46" s="21"/>
    </row>
    <row r="47" spans="1:8" x14ac:dyDescent="0.25">
      <c r="A47" s="4"/>
      <c r="B47" s="4"/>
      <c r="C47" s="4"/>
      <c r="D47" s="4"/>
      <c r="E47" s="4"/>
      <c r="F47" s="4"/>
      <c r="G47" s="4"/>
      <c r="H47" s="4"/>
    </row>
    <row r="48" spans="1:8" x14ac:dyDescent="0.25">
      <c r="A48" s="17" t="s">
        <v>130</v>
      </c>
      <c r="B48" s="18"/>
      <c r="C48" s="18"/>
      <c r="D48" s="18"/>
      <c r="E48" s="18"/>
      <c r="F48" s="18"/>
      <c r="G48" s="18"/>
      <c r="H48" s="18"/>
    </row>
    <row r="49" spans="1:8" x14ac:dyDescent="0.25">
      <c r="A49" s="13" t="s">
        <v>1</v>
      </c>
      <c r="B49" s="12" t="s">
        <v>131</v>
      </c>
      <c r="C49" s="12" t="s">
        <v>36</v>
      </c>
      <c r="D49" s="22" t="s">
        <v>44</v>
      </c>
      <c r="E49" s="20"/>
      <c r="F49" s="20"/>
      <c r="G49" s="20"/>
      <c r="H49" s="21"/>
    </row>
    <row r="50" spans="1:8" ht="57.95" customHeight="1" x14ac:dyDescent="0.25">
      <c r="A50" s="14" t="s">
        <v>132</v>
      </c>
      <c r="B50" s="6" t="s">
        <v>133</v>
      </c>
      <c r="C50" s="9" t="s">
        <v>125</v>
      </c>
      <c r="D50" s="19" t="s">
        <v>134</v>
      </c>
      <c r="E50" s="20"/>
      <c r="F50" s="20"/>
      <c r="G50" s="20"/>
      <c r="H50" s="21"/>
    </row>
    <row r="51" spans="1:8" x14ac:dyDescent="0.25">
      <c r="A51" s="4"/>
      <c r="B51" s="4"/>
      <c r="C51" s="4"/>
      <c r="D51" s="4"/>
      <c r="E51" s="4"/>
      <c r="F51" s="4"/>
      <c r="G51" s="4"/>
      <c r="H51" s="4"/>
    </row>
    <row r="52" spans="1:8" x14ac:dyDescent="0.25">
      <c r="A52" s="17" t="s">
        <v>135</v>
      </c>
      <c r="B52" s="18"/>
      <c r="C52" s="18"/>
      <c r="D52" s="18"/>
      <c r="E52" s="18"/>
      <c r="F52" s="18"/>
      <c r="G52" s="18"/>
      <c r="H52" s="18"/>
    </row>
    <row r="53" spans="1:8" x14ac:dyDescent="0.25">
      <c r="A53" s="13" t="s">
        <v>1</v>
      </c>
      <c r="B53" s="12" t="s">
        <v>131</v>
      </c>
      <c r="C53" s="12" t="s">
        <v>36</v>
      </c>
      <c r="D53" s="22" t="s">
        <v>44</v>
      </c>
      <c r="E53" s="20"/>
      <c r="F53" s="20"/>
      <c r="G53" s="20"/>
      <c r="H53" s="21"/>
    </row>
    <row r="54" spans="1:8" ht="29.1" customHeight="1" x14ac:dyDescent="0.25">
      <c r="A54" s="14" t="s">
        <v>136</v>
      </c>
      <c r="B54" s="6" t="s">
        <v>137</v>
      </c>
      <c r="C54" s="9" t="s">
        <v>42</v>
      </c>
      <c r="D54" s="19" t="s">
        <v>138</v>
      </c>
      <c r="E54" s="20"/>
      <c r="F54" s="20"/>
      <c r="G54" s="20"/>
      <c r="H54" s="21"/>
    </row>
  </sheetData>
  <mergeCells count="40">
    <mergeCell ref="D54:H54"/>
    <mergeCell ref="B34:H34"/>
    <mergeCell ref="D50:H50"/>
    <mergeCell ref="D44:H44"/>
    <mergeCell ref="D53:H53"/>
    <mergeCell ref="A26:H26"/>
    <mergeCell ref="B21:H21"/>
    <mergeCell ref="B11:H11"/>
    <mergeCell ref="B23:H23"/>
    <mergeCell ref="G29:H29"/>
    <mergeCell ref="D39:H39"/>
    <mergeCell ref="A20:H20"/>
    <mergeCell ref="A38:H38"/>
    <mergeCell ref="A43:H43"/>
    <mergeCell ref="A31:H31"/>
    <mergeCell ref="A52:H52"/>
    <mergeCell ref="A13:H13"/>
    <mergeCell ref="D49:H49"/>
    <mergeCell ref="D41:H41"/>
    <mergeCell ref="G28:H28"/>
    <mergeCell ref="B7:H7"/>
    <mergeCell ref="B3:H3"/>
    <mergeCell ref="B22:H22"/>
    <mergeCell ref="B8:H8"/>
    <mergeCell ref="B10:H10"/>
    <mergeCell ref="A1:H1"/>
    <mergeCell ref="B5:H5"/>
    <mergeCell ref="D40:H40"/>
    <mergeCell ref="D45:H45"/>
    <mergeCell ref="B36:H36"/>
    <mergeCell ref="B32:H32"/>
    <mergeCell ref="B35:H35"/>
    <mergeCell ref="B4:H4"/>
    <mergeCell ref="A48:H48"/>
    <mergeCell ref="B9:H9"/>
    <mergeCell ref="G27:H27"/>
    <mergeCell ref="B6:H6"/>
    <mergeCell ref="B24:H24"/>
    <mergeCell ref="B33:H33"/>
    <mergeCell ref="D46:H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topLeftCell="B30" workbookViewId="0">
      <selection activeCell="I21" sqref="I21"/>
    </sheetView>
  </sheetViews>
  <sheetFormatPr defaultRowHeight="15" x14ac:dyDescent="0.25"/>
  <cols>
    <col min="1" max="1" width="30" customWidth="1"/>
    <col min="2" max="8" width="16.7109375" customWidth="1"/>
  </cols>
  <sheetData>
    <row r="1" spans="1:11" ht="18.600000000000001" customHeight="1" x14ac:dyDescent="0.25">
      <c r="A1" s="23" t="s">
        <v>0</v>
      </c>
      <c r="B1" s="18"/>
      <c r="C1" s="18"/>
      <c r="D1" s="18"/>
      <c r="E1" s="18"/>
      <c r="F1" s="18"/>
      <c r="G1" s="18"/>
      <c r="H1" s="18"/>
      <c r="J1" s="16" t="s">
        <v>86</v>
      </c>
    </row>
    <row r="2" spans="1:11" x14ac:dyDescent="0.25">
      <c r="A2" s="4"/>
      <c r="B2" s="4"/>
      <c r="C2" s="4"/>
      <c r="D2" s="4"/>
      <c r="E2" s="4"/>
      <c r="F2" s="4"/>
      <c r="G2" s="4"/>
      <c r="H2" s="4"/>
      <c r="J2" s="2" t="s">
        <v>87</v>
      </c>
      <c r="K2" s="3">
        <v>3</v>
      </c>
    </row>
    <row r="3" spans="1:11" x14ac:dyDescent="0.25">
      <c r="A3" s="5" t="s">
        <v>1</v>
      </c>
      <c r="B3" s="19" t="s">
        <v>62</v>
      </c>
      <c r="C3" s="20"/>
      <c r="D3" s="20"/>
      <c r="E3" s="20"/>
      <c r="F3" s="20"/>
      <c r="G3" s="20"/>
      <c r="H3" s="21"/>
      <c r="J3" s="1" t="s">
        <v>88</v>
      </c>
    </row>
    <row r="4" spans="1:11" x14ac:dyDescent="0.25">
      <c r="A4" s="5" t="s">
        <v>3</v>
      </c>
      <c r="B4" s="19" t="s">
        <v>139</v>
      </c>
      <c r="C4" s="20"/>
      <c r="D4" s="20"/>
      <c r="E4" s="20"/>
      <c r="F4" s="20"/>
      <c r="G4" s="20"/>
      <c r="H4" s="21"/>
    </row>
    <row r="5" spans="1:11" x14ac:dyDescent="0.25">
      <c r="A5" s="5" t="s">
        <v>4</v>
      </c>
      <c r="B5" s="19" t="s">
        <v>140</v>
      </c>
      <c r="C5" s="20"/>
      <c r="D5" s="20"/>
      <c r="E5" s="20"/>
      <c r="F5" s="20"/>
      <c r="G5" s="20"/>
      <c r="H5" s="21"/>
    </row>
    <row r="6" spans="1:11" x14ac:dyDescent="0.25">
      <c r="A6" s="5" t="s">
        <v>6</v>
      </c>
      <c r="B6" s="19" t="s">
        <v>141</v>
      </c>
      <c r="C6" s="20"/>
      <c r="D6" s="20"/>
      <c r="E6" s="20"/>
      <c r="F6" s="20"/>
      <c r="G6" s="20"/>
      <c r="H6" s="21"/>
    </row>
    <row r="7" spans="1:11" x14ac:dyDescent="0.25">
      <c r="A7" s="5" t="s">
        <v>8</v>
      </c>
      <c r="B7" s="24">
        <v>17</v>
      </c>
      <c r="C7" s="20"/>
      <c r="D7" s="20"/>
      <c r="E7" s="20"/>
      <c r="F7" s="20"/>
      <c r="G7" s="20"/>
      <c r="H7" s="21"/>
    </row>
    <row r="8" spans="1:11" x14ac:dyDescent="0.25">
      <c r="A8" s="5" t="s">
        <v>9</v>
      </c>
      <c r="B8" s="24">
        <v>240</v>
      </c>
      <c r="C8" s="20"/>
      <c r="D8" s="20"/>
      <c r="E8" s="20"/>
      <c r="F8" s="20"/>
      <c r="G8" s="20"/>
      <c r="H8" s="21"/>
    </row>
    <row r="9" spans="1:11" x14ac:dyDescent="0.25">
      <c r="A9" s="5" t="s">
        <v>10</v>
      </c>
      <c r="B9" s="19" t="s">
        <v>142</v>
      </c>
      <c r="C9" s="20"/>
      <c r="D9" s="20"/>
      <c r="E9" s="20"/>
      <c r="F9" s="20"/>
      <c r="G9" s="20"/>
      <c r="H9" s="21"/>
    </row>
    <row r="10" spans="1:11" x14ac:dyDescent="0.25">
      <c r="A10" s="5" t="s">
        <v>12</v>
      </c>
      <c r="B10" s="26">
        <v>4</v>
      </c>
      <c r="C10" s="20"/>
      <c r="D10" s="20"/>
      <c r="E10" s="20"/>
      <c r="F10" s="20"/>
      <c r="G10" s="20"/>
      <c r="H10" s="21"/>
    </row>
    <row r="11" spans="1:11" x14ac:dyDescent="0.25">
      <c r="A11" s="5" t="s">
        <v>13</v>
      </c>
      <c r="B11" s="25">
        <f>C16</f>
        <v>6</v>
      </c>
      <c r="C11" s="20"/>
      <c r="D11" s="20"/>
      <c r="E11" s="20"/>
      <c r="F11" s="20"/>
      <c r="G11" s="20"/>
      <c r="H11" s="21"/>
    </row>
    <row r="12" spans="1:11" x14ac:dyDescent="0.25">
      <c r="A12" s="4"/>
      <c r="B12" s="4"/>
      <c r="C12" s="4"/>
      <c r="D12" s="4"/>
      <c r="E12" s="4"/>
      <c r="F12" s="4"/>
      <c r="G12" s="4"/>
      <c r="H12" s="4"/>
    </row>
    <row r="13" spans="1:11" x14ac:dyDescent="0.25">
      <c r="A13" s="17" t="s">
        <v>14</v>
      </c>
      <c r="B13" s="18"/>
      <c r="C13" s="18"/>
      <c r="D13" s="18"/>
      <c r="E13" s="18"/>
      <c r="F13" s="18"/>
      <c r="G13" s="18"/>
      <c r="H13" s="18"/>
    </row>
    <row r="14" spans="1:11" x14ac:dyDescent="0.25">
      <c r="A14" s="7"/>
      <c r="B14" s="8" t="s">
        <v>15</v>
      </c>
      <c r="C14" s="8" t="s">
        <v>16</v>
      </c>
      <c r="D14" s="8" t="s">
        <v>17</v>
      </c>
      <c r="E14" s="8" t="s">
        <v>18</v>
      </c>
      <c r="F14" s="8" t="s">
        <v>19</v>
      </c>
      <c r="G14" s="8" t="s">
        <v>20</v>
      </c>
      <c r="H14" s="4"/>
    </row>
    <row r="15" spans="1:11" x14ac:dyDescent="0.25">
      <c r="A15" s="5" t="s">
        <v>21</v>
      </c>
      <c r="B15" s="9">
        <v>12</v>
      </c>
      <c r="C15" s="9">
        <v>22</v>
      </c>
      <c r="D15" s="9">
        <v>20</v>
      </c>
      <c r="E15" s="9">
        <v>10</v>
      </c>
      <c r="F15" s="9">
        <v>14</v>
      </c>
      <c r="G15" s="9">
        <v>16</v>
      </c>
      <c r="H15" s="4"/>
    </row>
    <row r="16" spans="1:11" x14ac:dyDescent="0.25">
      <c r="A16" s="5" t="s">
        <v>22</v>
      </c>
      <c r="B16" s="10">
        <f t="shared" ref="B16:G16" si="0">INT((B15-10)/2)</f>
        <v>1</v>
      </c>
      <c r="C16" s="10">
        <f t="shared" si="0"/>
        <v>6</v>
      </c>
      <c r="D16" s="10">
        <f t="shared" si="0"/>
        <v>5</v>
      </c>
      <c r="E16" s="10">
        <f t="shared" si="0"/>
        <v>0</v>
      </c>
      <c r="F16" s="10">
        <f t="shared" si="0"/>
        <v>2</v>
      </c>
      <c r="G16" s="10">
        <f t="shared" si="0"/>
        <v>3</v>
      </c>
      <c r="H16" s="4"/>
    </row>
    <row r="17" spans="1:8" x14ac:dyDescent="0.25">
      <c r="A17" s="5" t="s">
        <v>23</v>
      </c>
      <c r="B17" s="9"/>
      <c r="C17" s="9" t="s">
        <v>93</v>
      </c>
      <c r="D17" s="9" t="s">
        <v>93</v>
      </c>
      <c r="E17" s="11"/>
      <c r="F17" s="9"/>
      <c r="G17" s="9" t="s">
        <v>93</v>
      </c>
      <c r="H17" s="4"/>
    </row>
    <row r="18" spans="1:8" x14ac:dyDescent="0.25">
      <c r="A18" s="5" t="s">
        <v>24</v>
      </c>
      <c r="B18" s="10">
        <f t="shared" ref="B18:G18" si="1">B16+IF(B17="Y",$B$10,0)</f>
        <v>1</v>
      </c>
      <c r="C18" s="10">
        <f t="shared" si="1"/>
        <v>10</v>
      </c>
      <c r="D18" s="10">
        <f t="shared" si="1"/>
        <v>9</v>
      </c>
      <c r="E18" s="10">
        <f t="shared" si="1"/>
        <v>0</v>
      </c>
      <c r="F18" s="10">
        <f t="shared" si="1"/>
        <v>2</v>
      </c>
      <c r="G18" s="10">
        <f t="shared" si="1"/>
        <v>7</v>
      </c>
      <c r="H18" s="4"/>
    </row>
    <row r="19" spans="1:8" x14ac:dyDescent="0.25">
      <c r="A19" s="4"/>
      <c r="B19" s="4"/>
      <c r="C19" s="4"/>
      <c r="D19" s="4"/>
      <c r="E19" s="4"/>
      <c r="F19" s="4"/>
      <c r="G19" s="4"/>
      <c r="H19" s="4"/>
    </row>
    <row r="20" spans="1:8" x14ac:dyDescent="0.25">
      <c r="A20" s="17" t="s">
        <v>25</v>
      </c>
      <c r="B20" s="18"/>
      <c r="C20" s="18"/>
      <c r="D20" s="18"/>
      <c r="E20" s="18"/>
      <c r="F20" s="18"/>
      <c r="G20" s="18"/>
      <c r="H20" s="18"/>
    </row>
    <row r="21" spans="1:8" x14ac:dyDescent="0.25">
      <c r="A21" s="5" t="s">
        <v>26</v>
      </c>
      <c r="B21" s="19" t="s">
        <v>94</v>
      </c>
      <c r="C21" s="20"/>
      <c r="D21" s="20"/>
      <c r="E21" s="20"/>
      <c r="F21" s="20"/>
      <c r="G21" s="20"/>
      <c r="H21" s="21"/>
    </row>
    <row r="22" spans="1:8" x14ac:dyDescent="0.25">
      <c r="A22" s="5" t="s">
        <v>27</v>
      </c>
      <c r="B22" s="19" t="s">
        <v>143</v>
      </c>
      <c r="C22" s="20"/>
      <c r="D22" s="20"/>
      <c r="E22" s="20"/>
      <c r="F22" s="20"/>
      <c r="G22" s="20"/>
      <c r="H22" s="21"/>
    </row>
    <row r="23" spans="1:8" ht="32.1" customHeight="1" x14ac:dyDescent="0.25">
      <c r="A23" s="5" t="s">
        <v>28</v>
      </c>
      <c r="B23" s="19" t="s">
        <v>144</v>
      </c>
      <c r="C23" s="20"/>
      <c r="D23" s="20"/>
      <c r="E23" s="20"/>
      <c r="F23" s="20"/>
      <c r="G23" s="20"/>
      <c r="H23" s="21"/>
    </row>
    <row r="24" spans="1:8" x14ac:dyDescent="0.25">
      <c r="A24" s="5" t="s">
        <v>29</v>
      </c>
      <c r="B24" s="19" t="s">
        <v>145</v>
      </c>
      <c r="C24" s="20"/>
      <c r="D24" s="20"/>
      <c r="E24" s="20"/>
      <c r="F24" s="20"/>
      <c r="G24" s="20"/>
      <c r="H24" s="21"/>
    </row>
    <row r="25" spans="1:8" x14ac:dyDescent="0.25">
      <c r="A25" s="4"/>
      <c r="B25" s="4"/>
      <c r="C25" s="4"/>
      <c r="D25" s="4"/>
      <c r="E25" s="4"/>
      <c r="F25" s="4"/>
      <c r="G25" s="4"/>
      <c r="H25" s="4"/>
    </row>
    <row r="26" spans="1:8" x14ac:dyDescent="0.25">
      <c r="A26" s="17" t="s">
        <v>31</v>
      </c>
      <c r="B26" s="18"/>
      <c r="C26" s="18"/>
      <c r="D26" s="18"/>
      <c r="E26" s="18"/>
      <c r="F26" s="18"/>
      <c r="G26" s="18"/>
      <c r="H26" s="18"/>
    </row>
    <row r="27" spans="1:8" x14ac:dyDescent="0.25">
      <c r="A27" s="12" t="s">
        <v>1</v>
      </c>
      <c r="B27" s="13" t="s">
        <v>32</v>
      </c>
      <c r="C27" s="8" t="s">
        <v>33</v>
      </c>
      <c r="D27" s="12" t="s">
        <v>34</v>
      </c>
      <c r="E27" s="12" t="s">
        <v>35</v>
      </c>
      <c r="F27" s="12" t="s">
        <v>36</v>
      </c>
      <c r="G27" s="22" t="s">
        <v>37</v>
      </c>
      <c r="H27" s="21"/>
    </row>
    <row r="28" spans="1:8" ht="84" customHeight="1" x14ac:dyDescent="0.25">
      <c r="A28" s="14" t="s">
        <v>146</v>
      </c>
      <c r="B28" s="6" t="s">
        <v>39</v>
      </c>
      <c r="C28" s="15">
        <v>10</v>
      </c>
      <c r="D28" s="6" t="s">
        <v>40</v>
      </c>
      <c r="E28" s="6" t="s">
        <v>147</v>
      </c>
      <c r="F28" s="6" t="s">
        <v>42</v>
      </c>
      <c r="G28" s="19" t="s">
        <v>148</v>
      </c>
      <c r="H28" s="21"/>
    </row>
    <row r="29" spans="1:8" ht="50.1" customHeight="1" x14ac:dyDescent="0.25">
      <c r="A29" s="14" t="s">
        <v>149</v>
      </c>
      <c r="B29" s="6" t="s">
        <v>150</v>
      </c>
      <c r="C29" s="15">
        <v>10</v>
      </c>
      <c r="D29" s="6" t="s">
        <v>151</v>
      </c>
      <c r="E29" s="6" t="s">
        <v>152</v>
      </c>
      <c r="F29" s="6" t="s">
        <v>42</v>
      </c>
      <c r="G29" s="19" t="s">
        <v>153</v>
      </c>
      <c r="H29" s="21"/>
    </row>
    <row r="30" spans="1:8" x14ac:dyDescent="0.25">
      <c r="A30" s="4"/>
      <c r="B30" s="4"/>
      <c r="C30" s="4"/>
      <c r="D30" s="4"/>
      <c r="E30" s="4"/>
      <c r="F30" s="4"/>
      <c r="G30" s="4"/>
      <c r="H30" s="4"/>
    </row>
    <row r="31" spans="1:8" x14ac:dyDescent="0.25">
      <c r="A31" s="17" t="s">
        <v>43</v>
      </c>
      <c r="B31" s="18"/>
      <c r="C31" s="18"/>
      <c r="D31" s="18"/>
      <c r="E31" s="18"/>
      <c r="F31" s="18"/>
      <c r="G31" s="18"/>
      <c r="H31" s="18"/>
    </row>
    <row r="32" spans="1:8" x14ac:dyDescent="0.25">
      <c r="A32" s="12" t="s">
        <v>1</v>
      </c>
      <c r="B32" s="22" t="s">
        <v>44</v>
      </c>
      <c r="C32" s="20"/>
      <c r="D32" s="20"/>
      <c r="E32" s="20"/>
      <c r="F32" s="20"/>
      <c r="G32" s="20"/>
      <c r="H32" s="21"/>
    </row>
    <row r="33" spans="1:8" ht="51.95" customHeight="1" x14ac:dyDescent="0.25">
      <c r="A33" s="14" t="s">
        <v>154</v>
      </c>
      <c r="B33" s="19" t="s">
        <v>155</v>
      </c>
      <c r="C33" s="20"/>
      <c r="D33" s="20"/>
      <c r="E33" s="20"/>
      <c r="F33" s="20"/>
      <c r="G33" s="20"/>
      <c r="H33" s="21"/>
    </row>
    <row r="34" spans="1:8" x14ac:dyDescent="0.25">
      <c r="A34" s="14" t="s">
        <v>156</v>
      </c>
      <c r="B34" s="19" t="s">
        <v>157</v>
      </c>
      <c r="C34" s="20"/>
      <c r="D34" s="20"/>
      <c r="E34" s="20"/>
      <c r="F34" s="20"/>
      <c r="G34" s="20"/>
      <c r="H34" s="21"/>
    </row>
    <row r="35" spans="1:8" ht="33.950000000000003" customHeight="1" x14ac:dyDescent="0.25">
      <c r="A35" s="14" t="s">
        <v>158</v>
      </c>
      <c r="B35" s="19" t="s">
        <v>159</v>
      </c>
      <c r="C35" s="20"/>
      <c r="D35" s="20"/>
      <c r="E35" s="20"/>
      <c r="F35" s="20"/>
      <c r="G35" s="20"/>
      <c r="H35" s="21"/>
    </row>
    <row r="36" spans="1:8" x14ac:dyDescent="0.25">
      <c r="A36" s="14" t="s">
        <v>114</v>
      </c>
      <c r="B36" s="19" t="s">
        <v>160</v>
      </c>
      <c r="C36" s="20"/>
      <c r="D36" s="20"/>
      <c r="E36" s="20"/>
      <c r="F36" s="20"/>
      <c r="G36" s="20"/>
      <c r="H36" s="21"/>
    </row>
    <row r="37" spans="1:8" x14ac:dyDescent="0.25">
      <c r="A37" s="4"/>
      <c r="B37" s="4"/>
      <c r="C37" s="4"/>
      <c r="D37" s="4"/>
      <c r="E37" s="4"/>
      <c r="F37" s="4"/>
      <c r="G37" s="4"/>
      <c r="H37" s="4"/>
    </row>
    <row r="38" spans="1:8" x14ac:dyDescent="0.25">
      <c r="A38" s="17" t="s">
        <v>116</v>
      </c>
      <c r="B38" s="18"/>
      <c r="C38" s="18"/>
      <c r="D38" s="18"/>
      <c r="E38" s="18"/>
      <c r="F38" s="18"/>
      <c r="G38" s="18"/>
      <c r="H38" s="18"/>
    </row>
    <row r="39" spans="1:8" x14ac:dyDescent="0.25">
      <c r="A39" s="13" t="s">
        <v>1</v>
      </c>
      <c r="B39" s="13" t="s">
        <v>117</v>
      </c>
      <c r="C39" s="12" t="s">
        <v>36</v>
      </c>
      <c r="D39" s="22" t="s">
        <v>44</v>
      </c>
      <c r="E39" s="20"/>
      <c r="F39" s="20"/>
      <c r="G39" s="20"/>
      <c r="H39" s="21"/>
    </row>
    <row r="40" spans="1:8" x14ac:dyDescent="0.25">
      <c r="A40" s="14" t="s">
        <v>118</v>
      </c>
      <c r="B40" s="9" t="s">
        <v>42</v>
      </c>
      <c r="C40" s="9" t="s">
        <v>42</v>
      </c>
      <c r="D40" s="19" t="s">
        <v>161</v>
      </c>
      <c r="E40" s="20"/>
      <c r="F40" s="20"/>
      <c r="G40" s="20"/>
      <c r="H40" s="21"/>
    </row>
    <row r="41" spans="1:8" ht="66" customHeight="1" x14ac:dyDescent="0.25">
      <c r="A41" s="14" t="s">
        <v>162</v>
      </c>
      <c r="B41" s="9" t="s">
        <v>163</v>
      </c>
      <c r="C41" s="9" t="s">
        <v>164</v>
      </c>
      <c r="D41" s="19" t="s">
        <v>165</v>
      </c>
      <c r="E41" s="20"/>
      <c r="F41" s="20"/>
      <c r="G41" s="20"/>
      <c r="H41" s="21"/>
    </row>
    <row r="42" spans="1:8" ht="66" customHeight="1" x14ac:dyDescent="0.25">
      <c r="A42" s="14" t="s">
        <v>166</v>
      </c>
      <c r="B42" s="9" t="s">
        <v>121</v>
      </c>
      <c r="C42" s="9" t="s">
        <v>42</v>
      </c>
      <c r="D42" s="27" t="s">
        <v>167</v>
      </c>
      <c r="E42" s="20"/>
      <c r="F42" s="20"/>
      <c r="G42" s="20"/>
      <c r="H42" s="21"/>
    </row>
    <row r="43" spans="1:8" x14ac:dyDescent="0.25">
      <c r="A43" s="4"/>
      <c r="B43" s="4"/>
      <c r="C43" s="4"/>
      <c r="D43" s="4"/>
      <c r="E43" s="4"/>
      <c r="F43" s="4"/>
      <c r="G43" s="4"/>
      <c r="H43" s="4"/>
    </row>
    <row r="44" spans="1:8" x14ac:dyDescent="0.25">
      <c r="A44" s="17" t="s">
        <v>123</v>
      </c>
      <c r="B44" s="18"/>
      <c r="C44" s="18"/>
      <c r="D44" s="18"/>
      <c r="E44" s="18"/>
      <c r="F44" s="18"/>
      <c r="G44" s="18"/>
      <c r="H44" s="18"/>
    </row>
    <row r="45" spans="1:8" x14ac:dyDescent="0.25">
      <c r="A45" s="13" t="s">
        <v>1</v>
      </c>
      <c r="B45" s="12" t="s">
        <v>117</v>
      </c>
      <c r="C45" s="12" t="s">
        <v>36</v>
      </c>
      <c r="D45" s="22" t="s">
        <v>44</v>
      </c>
      <c r="E45" s="20"/>
      <c r="F45" s="20"/>
      <c r="G45" s="20"/>
      <c r="H45" s="21"/>
    </row>
    <row r="46" spans="1:8" ht="81.95" customHeight="1" x14ac:dyDescent="0.25">
      <c r="A46" s="14" t="s">
        <v>168</v>
      </c>
      <c r="B46" s="9" t="s">
        <v>128</v>
      </c>
      <c r="C46" s="9" t="s">
        <v>42</v>
      </c>
      <c r="D46" s="19" t="s">
        <v>169</v>
      </c>
      <c r="E46" s="20"/>
      <c r="F46" s="20"/>
      <c r="G46" s="20"/>
      <c r="H46" s="21"/>
    </row>
    <row r="47" spans="1:8" x14ac:dyDescent="0.25">
      <c r="A47" s="4"/>
      <c r="B47" s="4"/>
      <c r="C47" s="4"/>
      <c r="D47" s="4"/>
      <c r="E47" s="4"/>
      <c r="F47" s="4"/>
      <c r="G47" s="4"/>
      <c r="H47" s="4"/>
    </row>
    <row r="48" spans="1:8" x14ac:dyDescent="0.25">
      <c r="A48" s="17" t="s">
        <v>130</v>
      </c>
      <c r="B48" s="18"/>
      <c r="C48" s="18"/>
      <c r="D48" s="18"/>
      <c r="E48" s="18"/>
      <c r="F48" s="18"/>
      <c r="G48" s="18"/>
      <c r="H48" s="18"/>
    </row>
    <row r="49" spans="1:8" x14ac:dyDescent="0.25">
      <c r="A49" s="13" t="s">
        <v>1</v>
      </c>
      <c r="B49" s="12" t="s">
        <v>131</v>
      </c>
      <c r="C49" s="12" t="s">
        <v>36</v>
      </c>
      <c r="D49" s="22" t="s">
        <v>44</v>
      </c>
      <c r="E49" s="20"/>
      <c r="F49" s="20"/>
      <c r="G49" s="20"/>
      <c r="H49" s="21"/>
    </row>
    <row r="50" spans="1:8" ht="43.5" customHeight="1" x14ac:dyDescent="0.25">
      <c r="A50" s="14" t="s">
        <v>170</v>
      </c>
      <c r="B50" s="6" t="s">
        <v>171</v>
      </c>
      <c r="C50" s="9" t="s">
        <v>125</v>
      </c>
      <c r="D50" s="19" t="s">
        <v>172</v>
      </c>
      <c r="E50" s="20"/>
      <c r="F50" s="20"/>
      <c r="G50" s="20"/>
      <c r="H50" s="21"/>
    </row>
    <row r="51" spans="1:8" x14ac:dyDescent="0.25">
      <c r="A51" s="4"/>
      <c r="B51" s="4"/>
      <c r="C51" s="4"/>
      <c r="D51" s="4"/>
      <c r="E51" s="4"/>
      <c r="F51" s="4"/>
      <c r="G51" s="4"/>
      <c r="H51" s="4"/>
    </row>
    <row r="52" spans="1:8" x14ac:dyDescent="0.25">
      <c r="A52" s="17" t="s">
        <v>135</v>
      </c>
      <c r="B52" s="18"/>
      <c r="C52" s="18"/>
      <c r="D52" s="18"/>
      <c r="E52" s="18"/>
      <c r="F52" s="18"/>
      <c r="G52" s="18"/>
      <c r="H52" s="18"/>
    </row>
    <row r="53" spans="1:8" x14ac:dyDescent="0.25">
      <c r="A53" s="13" t="s">
        <v>1</v>
      </c>
      <c r="B53" s="12" t="s">
        <v>131</v>
      </c>
      <c r="C53" s="12" t="s">
        <v>36</v>
      </c>
      <c r="D53" s="22" t="s">
        <v>44</v>
      </c>
      <c r="E53" s="20"/>
      <c r="F53" s="20"/>
      <c r="G53" s="20"/>
      <c r="H53" s="21"/>
    </row>
    <row r="54" spans="1:8" ht="38.1" customHeight="1" x14ac:dyDescent="0.25">
      <c r="A54" s="14" t="s">
        <v>173</v>
      </c>
      <c r="B54" s="6" t="s">
        <v>137</v>
      </c>
      <c r="C54" s="9" t="s">
        <v>174</v>
      </c>
      <c r="D54" s="19" t="s">
        <v>175</v>
      </c>
      <c r="E54" s="20"/>
      <c r="F54" s="20"/>
      <c r="G54" s="20"/>
      <c r="H54" s="21"/>
    </row>
  </sheetData>
  <mergeCells count="40">
    <mergeCell ref="D54:H54"/>
    <mergeCell ref="B34:H34"/>
    <mergeCell ref="D50:H50"/>
    <mergeCell ref="D53:H53"/>
    <mergeCell ref="B21:H21"/>
    <mergeCell ref="B11:H11"/>
    <mergeCell ref="B23:H23"/>
    <mergeCell ref="G29:H29"/>
    <mergeCell ref="D39:H39"/>
    <mergeCell ref="A20:H20"/>
    <mergeCell ref="D42:H42"/>
    <mergeCell ref="A38:H38"/>
    <mergeCell ref="A31:H31"/>
    <mergeCell ref="A52:H52"/>
    <mergeCell ref="A13:H13"/>
    <mergeCell ref="A44:H44"/>
    <mergeCell ref="D49:H49"/>
    <mergeCell ref="D41:H41"/>
    <mergeCell ref="G28:H28"/>
    <mergeCell ref="B7:H7"/>
    <mergeCell ref="B3:H3"/>
    <mergeCell ref="B22:H22"/>
    <mergeCell ref="A26:H26"/>
    <mergeCell ref="B8:H8"/>
    <mergeCell ref="B10:H10"/>
    <mergeCell ref="A1:H1"/>
    <mergeCell ref="B5:H5"/>
    <mergeCell ref="D40:H40"/>
    <mergeCell ref="D45:H45"/>
    <mergeCell ref="B36:H36"/>
    <mergeCell ref="B32:H32"/>
    <mergeCell ref="B35:H35"/>
    <mergeCell ref="B4:H4"/>
    <mergeCell ref="A48:H48"/>
    <mergeCell ref="B9:H9"/>
    <mergeCell ref="G27:H27"/>
    <mergeCell ref="B6:H6"/>
    <mergeCell ref="B24:H24"/>
    <mergeCell ref="B33:H33"/>
    <mergeCell ref="D46:H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2"/>
  <sheetViews>
    <sheetView workbookViewId="0"/>
  </sheetViews>
  <sheetFormatPr defaultRowHeight="15" x14ac:dyDescent="0.25"/>
  <sheetData>
    <row r="1" spans="1:11" x14ac:dyDescent="0.25">
      <c r="A1" t="s">
        <v>0</v>
      </c>
    </row>
    <row r="2" spans="1:11" x14ac:dyDescent="0.25">
      <c r="K2">
        <v>1</v>
      </c>
    </row>
    <row r="3" spans="1:11" x14ac:dyDescent="0.25">
      <c r="A3" t="s">
        <v>1</v>
      </c>
      <c r="B3" t="s">
        <v>2</v>
      </c>
    </row>
    <row r="4" spans="1:11" x14ac:dyDescent="0.25">
      <c r="A4" t="s">
        <v>3</v>
      </c>
    </row>
    <row r="5" spans="1:11" x14ac:dyDescent="0.25">
      <c r="A5" t="s">
        <v>4</v>
      </c>
      <c r="B5" t="s">
        <v>5</v>
      </c>
    </row>
    <row r="6" spans="1:11" x14ac:dyDescent="0.25">
      <c r="A6" t="s">
        <v>6</v>
      </c>
      <c r="B6" t="s">
        <v>7</v>
      </c>
    </row>
    <row r="7" spans="1:11" x14ac:dyDescent="0.25">
      <c r="A7" t="s">
        <v>8</v>
      </c>
      <c r="B7">
        <v>18</v>
      </c>
    </row>
    <row r="8" spans="1:11" x14ac:dyDescent="0.25">
      <c r="A8" t="s">
        <v>9</v>
      </c>
      <c r="B8">
        <v>11</v>
      </c>
    </row>
    <row r="9" spans="1:11" x14ac:dyDescent="0.25">
      <c r="A9" t="s">
        <v>10</v>
      </c>
      <c r="B9" t="s">
        <v>11</v>
      </c>
    </row>
    <row r="10" spans="1:11" x14ac:dyDescent="0.25">
      <c r="A10" t="s">
        <v>12</v>
      </c>
      <c r="B10">
        <v>2</v>
      </c>
    </row>
    <row r="11" spans="1:11" x14ac:dyDescent="0.25">
      <c r="A11" t="s">
        <v>13</v>
      </c>
      <c r="B11">
        <v>1</v>
      </c>
    </row>
    <row r="13" spans="1:11" x14ac:dyDescent="0.25">
      <c r="A13" t="s">
        <v>14</v>
      </c>
    </row>
    <row r="14" spans="1:11" x14ac:dyDescent="0.25">
      <c r="B14" t="s">
        <v>15</v>
      </c>
      <c r="C14" t="s">
        <v>16</v>
      </c>
      <c r="D14" t="s">
        <v>17</v>
      </c>
      <c r="E14" t="s">
        <v>18</v>
      </c>
      <c r="F14" t="s">
        <v>19</v>
      </c>
      <c r="G14" t="s">
        <v>20</v>
      </c>
    </row>
    <row r="15" spans="1:11" x14ac:dyDescent="0.25">
      <c r="A15" t="s">
        <v>21</v>
      </c>
      <c r="B15">
        <v>13</v>
      </c>
      <c r="C15">
        <v>12</v>
      </c>
      <c r="D15">
        <v>12</v>
      </c>
      <c r="E15">
        <v>10</v>
      </c>
      <c r="F15">
        <v>10</v>
      </c>
      <c r="G15">
        <v>9</v>
      </c>
    </row>
    <row r="16" spans="1:11" x14ac:dyDescent="0.25">
      <c r="A16" t="s">
        <v>22</v>
      </c>
      <c r="B16">
        <v>1</v>
      </c>
      <c r="C16">
        <v>1</v>
      </c>
      <c r="D16">
        <v>1</v>
      </c>
      <c r="E16">
        <v>0</v>
      </c>
      <c r="F16">
        <v>0</v>
      </c>
      <c r="G16">
        <v>-1</v>
      </c>
    </row>
    <row r="17" spans="1:7" x14ac:dyDescent="0.25">
      <c r="A17" t="s">
        <v>23</v>
      </c>
    </row>
    <row r="18" spans="1:7" x14ac:dyDescent="0.25">
      <c r="A18" t="s">
        <v>24</v>
      </c>
      <c r="B18">
        <v>1</v>
      </c>
      <c r="C18">
        <v>1</v>
      </c>
      <c r="D18">
        <v>1</v>
      </c>
      <c r="E18">
        <v>0</v>
      </c>
      <c r="F18">
        <v>0</v>
      </c>
      <c r="G18">
        <v>-1</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30</v>
      </c>
    </row>
    <row r="26" spans="1:7" x14ac:dyDescent="0.25">
      <c r="A26" t="s">
        <v>31</v>
      </c>
    </row>
    <row r="27" spans="1:7" x14ac:dyDescent="0.25">
      <c r="A27" t="s">
        <v>1</v>
      </c>
      <c r="B27" t="s">
        <v>32</v>
      </c>
      <c r="C27" t="s">
        <v>33</v>
      </c>
      <c r="D27" t="s">
        <v>34</v>
      </c>
      <c r="E27" t="s">
        <v>35</v>
      </c>
      <c r="F27" t="s">
        <v>36</v>
      </c>
      <c r="G27" t="s">
        <v>37</v>
      </c>
    </row>
    <row r="28" spans="1:7" x14ac:dyDescent="0.25">
      <c r="A28" t="s">
        <v>38</v>
      </c>
      <c r="B28" t="s">
        <v>39</v>
      </c>
      <c r="C28">
        <v>3</v>
      </c>
      <c r="D28" t="s">
        <v>40</v>
      </c>
      <c r="E28" t="s">
        <v>41</v>
      </c>
      <c r="F28" t="s">
        <v>42</v>
      </c>
    </row>
    <row r="30" spans="1:7" x14ac:dyDescent="0.25">
      <c r="A30" t="s">
        <v>43</v>
      </c>
    </row>
    <row r="31" spans="1:7" x14ac:dyDescent="0.25">
      <c r="A31" t="s">
        <v>1</v>
      </c>
      <c r="B31" t="s">
        <v>44</v>
      </c>
    </row>
    <row r="32" spans="1:7" x14ac:dyDescent="0.25">
      <c r="A32" t="s">
        <v>45</v>
      </c>
      <c r="B32" t="s">
        <v>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8"/>
  <sheetViews>
    <sheetView workbookViewId="0"/>
  </sheetViews>
  <sheetFormatPr defaultRowHeight="15" x14ac:dyDescent="0.25"/>
  <sheetData>
    <row r="1" spans="1:11" x14ac:dyDescent="0.25">
      <c r="A1" t="s">
        <v>0</v>
      </c>
    </row>
    <row r="2" spans="1:11" x14ac:dyDescent="0.25">
      <c r="K2">
        <v>1</v>
      </c>
    </row>
    <row r="3" spans="1:11" x14ac:dyDescent="0.25">
      <c r="A3" t="s">
        <v>1</v>
      </c>
      <c r="B3" t="s">
        <v>67</v>
      </c>
    </row>
    <row r="4" spans="1:11" x14ac:dyDescent="0.25">
      <c r="A4" t="s">
        <v>3</v>
      </c>
      <c r="B4" t="s">
        <v>176</v>
      </c>
    </row>
    <row r="5" spans="1:11" x14ac:dyDescent="0.25">
      <c r="A5" t="s">
        <v>4</v>
      </c>
      <c r="B5" t="s">
        <v>177</v>
      </c>
    </row>
    <row r="6" spans="1:11" x14ac:dyDescent="0.25">
      <c r="A6" t="s">
        <v>6</v>
      </c>
      <c r="B6" t="s">
        <v>178</v>
      </c>
    </row>
    <row r="7" spans="1:11" x14ac:dyDescent="0.25">
      <c r="A7" t="s">
        <v>8</v>
      </c>
      <c r="B7">
        <v>16</v>
      </c>
    </row>
    <row r="8" spans="1:11" x14ac:dyDescent="0.25">
      <c r="A8" t="s">
        <v>9</v>
      </c>
      <c r="B8">
        <v>30</v>
      </c>
    </row>
    <row r="9" spans="1:11" x14ac:dyDescent="0.25">
      <c r="A9" t="s">
        <v>10</v>
      </c>
      <c r="B9" t="s">
        <v>11</v>
      </c>
    </row>
    <row r="10" spans="1:11" x14ac:dyDescent="0.25">
      <c r="A10" t="s">
        <v>12</v>
      </c>
      <c r="B10">
        <v>2</v>
      </c>
    </row>
    <row r="11" spans="1:11" x14ac:dyDescent="0.25">
      <c r="A11" t="s">
        <v>13</v>
      </c>
      <c r="B11">
        <v>1</v>
      </c>
    </row>
    <row r="13" spans="1:11" x14ac:dyDescent="0.25">
      <c r="A13" t="s">
        <v>14</v>
      </c>
    </row>
    <row r="14" spans="1:11" x14ac:dyDescent="0.25">
      <c r="B14" t="s">
        <v>15</v>
      </c>
      <c r="C14" t="s">
        <v>16</v>
      </c>
      <c r="D14" t="s">
        <v>17</v>
      </c>
      <c r="E14" t="s">
        <v>18</v>
      </c>
      <c r="F14" t="s">
        <v>19</v>
      </c>
      <c r="G14" t="s">
        <v>20</v>
      </c>
    </row>
    <row r="15" spans="1:11" x14ac:dyDescent="0.25">
      <c r="A15" t="s">
        <v>21</v>
      </c>
      <c r="B15">
        <v>16</v>
      </c>
      <c r="C15">
        <v>12</v>
      </c>
      <c r="D15">
        <v>16</v>
      </c>
      <c r="E15">
        <v>10</v>
      </c>
      <c r="F15">
        <v>12</v>
      </c>
      <c r="G15">
        <v>10</v>
      </c>
    </row>
    <row r="16" spans="1:11" x14ac:dyDescent="0.25">
      <c r="A16" t="s">
        <v>22</v>
      </c>
      <c r="B16">
        <v>3</v>
      </c>
      <c r="C16">
        <v>1</v>
      </c>
      <c r="D16">
        <v>3</v>
      </c>
      <c r="E16">
        <v>0</v>
      </c>
      <c r="F16">
        <v>1</v>
      </c>
      <c r="G16">
        <v>0</v>
      </c>
    </row>
    <row r="17" spans="1:7" x14ac:dyDescent="0.25">
      <c r="A17" t="s">
        <v>23</v>
      </c>
      <c r="D17" t="s">
        <v>93</v>
      </c>
      <c r="F17" t="s">
        <v>93</v>
      </c>
    </row>
    <row r="18" spans="1:7" x14ac:dyDescent="0.25">
      <c r="A18" t="s">
        <v>24</v>
      </c>
      <c r="B18">
        <v>3</v>
      </c>
      <c r="C18">
        <v>1</v>
      </c>
      <c r="D18">
        <v>5</v>
      </c>
      <c r="E18">
        <v>0</v>
      </c>
      <c r="F18">
        <v>3</v>
      </c>
      <c r="G18">
        <v>0</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179</v>
      </c>
    </row>
    <row r="26" spans="1:7" x14ac:dyDescent="0.25">
      <c r="A26" t="s">
        <v>31</v>
      </c>
    </row>
    <row r="27" spans="1:7" x14ac:dyDescent="0.25">
      <c r="A27" t="s">
        <v>1</v>
      </c>
      <c r="B27" t="s">
        <v>32</v>
      </c>
      <c r="C27" t="s">
        <v>33</v>
      </c>
      <c r="D27" t="s">
        <v>34</v>
      </c>
      <c r="E27" t="s">
        <v>35</v>
      </c>
      <c r="F27" t="s">
        <v>36</v>
      </c>
      <c r="G27" t="s">
        <v>37</v>
      </c>
    </row>
    <row r="28" spans="1:7" x14ac:dyDescent="0.25">
      <c r="A28" t="s">
        <v>180</v>
      </c>
      <c r="B28" t="s">
        <v>39</v>
      </c>
      <c r="C28">
        <v>5</v>
      </c>
      <c r="D28" t="s">
        <v>40</v>
      </c>
      <c r="E28" t="s">
        <v>181</v>
      </c>
      <c r="F28" t="s">
        <v>42</v>
      </c>
    </row>
    <row r="30" spans="1:7" x14ac:dyDescent="0.25">
      <c r="A30" t="s">
        <v>43</v>
      </c>
    </row>
    <row r="31" spans="1:7" x14ac:dyDescent="0.25">
      <c r="A31" t="s">
        <v>1</v>
      </c>
      <c r="B31" t="s">
        <v>44</v>
      </c>
    </row>
    <row r="32" spans="1:7" x14ac:dyDescent="0.25">
      <c r="A32" t="s">
        <v>182</v>
      </c>
      <c r="B32" t="s">
        <v>183</v>
      </c>
    </row>
    <row r="33" spans="1:2" x14ac:dyDescent="0.25">
      <c r="A33" t="s">
        <v>184</v>
      </c>
      <c r="B33" t="s">
        <v>185</v>
      </c>
    </row>
    <row r="34" spans="1:2" x14ac:dyDescent="0.25">
      <c r="A34" t="s">
        <v>186</v>
      </c>
      <c r="B34" t="s">
        <v>187</v>
      </c>
    </row>
    <row r="36" spans="1:2" x14ac:dyDescent="0.25">
      <c r="A36" t="s">
        <v>123</v>
      </c>
    </row>
    <row r="37" spans="1:2" x14ac:dyDescent="0.25">
      <c r="A37" t="s">
        <v>1</v>
      </c>
      <c r="B37" t="s">
        <v>44</v>
      </c>
    </row>
    <row r="38" spans="1:2" x14ac:dyDescent="0.25">
      <c r="A38" t="s">
        <v>188</v>
      </c>
      <c r="B38"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8"/>
  <sheetViews>
    <sheetView workbookViewId="0"/>
  </sheetViews>
  <sheetFormatPr defaultRowHeight="15" x14ac:dyDescent="0.25"/>
  <sheetData>
    <row r="1" spans="1:11" x14ac:dyDescent="0.25">
      <c r="A1" t="s">
        <v>0</v>
      </c>
    </row>
    <row r="2" spans="1:11" x14ac:dyDescent="0.25">
      <c r="K2">
        <v>1</v>
      </c>
    </row>
    <row r="3" spans="1:11" x14ac:dyDescent="0.25">
      <c r="A3" t="s">
        <v>1</v>
      </c>
      <c r="B3" t="s">
        <v>69</v>
      </c>
    </row>
    <row r="4" spans="1:11" x14ac:dyDescent="0.25">
      <c r="A4" t="s">
        <v>3</v>
      </c>
      <c r="B4" t="s">
        <v>190</v>
      </c>
    </row>
    <row r="5" spans="1:11" x14ac:dyDescent="0.25">
      <c r="A5" t="s">
        <v>4</v>
      </c>
      <c r="B5" t="s">
        <v>191</v>
      </c>
    </row>
    <row r="6" spans="1:11" x14ac:dyDescent="0.25">
      <c r="A6" t="s">
        <v>6</v>
      </c>
      <c r="B6" t="s">
        <v>178</v>
      </c>
    </row>
    <row r="7" spans="1:11" x14ac:dyDescent="0.25">
      <c r="A7" t="s">
        <v>8</v>
      </c>
      <c r="B7">
        <v>14</v>
      </c>
    </row>
    <row r="8" spans="1:11" x14ac:dyDescent="0.25">
      <c r="A8" t="s">
        <v>9</v>
      </c>
      <c r="B8">
        <v>24</v>
      </c>
    </row>
    <row r="9" spans="1:11" x14ac:dyDescent="0.25">
      <c r="A9" t="s">
        <v>10</v>
      </c>
      <c r="B9" t="s">
        <v>11</v>
      </c>
    </row>
    <row r="10" spans="1:11" x14ac:dyDescent="0.25">
      <c r="A10" t="s">
        <v>12</v>
      </c>
      <c r="B10">
        <v>2</v>
      </c>
    </row>
    <row r="11" spans="1:11" x14ac:dyDescent="0.25">
      <c r="A11" t="s">
        <v>13</v>
      </c>
      <c r="B11">
        <v>3</v>
      </c>
    </row>
    <row r="13" spans="1:11" x14ac:dyDescent="0.25">
      <c r="A13" t="s">
        <v>14</v>
      </c>
    </row>
    <row r="14" spans="1:11" x14ac:dyDescent="0.25">
      <c r="B14" t="s">
        <v>15</v>
      </c>
      <c r="C14" t="s">
        <v>16</v>
      </c>
      <c r="D14" t="s">
        <v>17</v>
      </c>
      <c r="E14" t="s">
        <v>18</v>
      </c>
      <c r="F14" t="s">
        <v>19</v>
      </c>
      <c r="G14" t="s">
        <v>20</v>
      </c>
    </row>
    <row r="15" spans="1:11" x14ac:dyDescent="0.25">
      <c r="A15" t="s">
        <v>21</v>
      </c>
      <c r="B15">
        <v>12</v>
      </c>
      <c r="C15">
        <v>16</v>
      </c>
      <c r="D15">
        <v>14</v>
      </c>
      <c r="E15">
        <v>10</v>
      </c>
      <c r="F15">
        <v>14</v>
      </c>
      <c r="G15">
        <v>10</v>
      </c>
    </row>
    <row r="16" spans="1:11" x14ac:dyDescent="0.25">
      <c r="A16" t="s">
        <v>22</v>
      </c>
      <c r="B16">
        <v>1</v>
      </c>
      <c r="C16">
        <v>3</v>
      </c>
      <c r="D16">
        <v>2</v>
      </c>
      <c r="E16">
        <v>0</v>
      </c>
      <c r="F16">
        <v>2</v>
      </c>
      <c r="G16">
        <v>0</v>
      </c>
    </row>
    <row r="17" spans="1:7" x14ac:dyDescent="0.25">
      <c r="A17" t="s">
        <v>23</v>
      </c>
      <c r="C17" t="s">
        <v>93</v>
      </c>
      <c r="F17" t="s">
        <v>93</v>
      </c>
    </row>
    <row r="18" spans="1:7" x14ac:dyDescent="0.25">
      <c r="A18" t="s">
        <v>24</v>
      </c>
      <c r="B18">
        <v>1</v>
      </c>
      <c r="C18">
        <v>5</v>
      </c>
      <c r="D18">
        <v>2</v>
      </c>
      <c r="E18">
        <v>0</v>
      </c>
      <c r="F18">
        <v>4</v>
      </c>
      <c r="G18">
        <v>0</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145</v>
      </c>
    </row>
    <row r="26" spans="1:7" x14ac:dyDescent="0.25">
      <c r="A26" t="s">
        <v>31</v>
      </c>
    </row>
    <row r="27" spans="1:7" x14ac:dyDescent="0.25">
      <c r="A27" t="s">
        <v>1</v>
      </c>
      <c r="B27" t="s">
        <v>32</v>
      </c>
      <c r="C27" t="s">
        <v>33</v>
      </c>
      <c r="D27" t="s">
        <v>34</v>
      </c>
      <c r="E27" t="s">
        <v>35</v>
      </c>
      <c r="F27" t="s">
        <v>36</v>
      </c>
      <c r="G27" t="s">
        <v>37</v>
      </c>
    </row>
    <row r="28" spans="1:7" x14ac:dyDescent="0.25">
      <c r="A28" t="s">
        <v>192</v>
      </c>
      <c r="B28" t="s">
        <v>104</v>
      </c>
      <c r="C28">
        <v>6</v>
      </c>
      <c r="D28" t="s">
        <v>193</v>
      </c>
      <c r="E28" t="s">
        <v>181</v>
      </c>
      <c r="F28" t="s">
        <v>42</v>
      </c>
      <c r="G28" t="s">
        <v>194</v>
      </c>
    </row>
    <row r="30" spans="1:7" x14ac:dyDescent="0.25">
      <c r="A30" t="s">
        <v>43</v>
      </c>
    </row>
    <row r="31" spans="1:7" x14ac:dyDescent="0.25">
      <c r="A31" t="s">
        <v>1</v>
      </c>
      <c r="B31" t="s">
        <v>44</v>
      </c>
    </row>
    <row r="32" spans="1:7" x14ac:dyDescent="0.25">
      <c r="A32" t="s">
        <v>195</v>
      </c>
      <c r="B32" t="s">
        <v>196</v>
      </c>
    </row>
    <row r="33" spans="1:2" x14ac:dyDescent="0.25">
      <c r="A33" t="s">
        <v>197</v>
      </c>
      <c r="B33" t="s">
        <v>198</v>
      </c>
    </row>
    <row r="34" spans="1:2" x14ac:dyDescent="0.25">
      <c r="A34" t="s">
        <v>186</v>
      </c>
      <c r="B34" t="s">
        <v>199</v>
      </c>
    </row>
    <row r="36" spans="1:2" x14ac:dyDescent="0.25">
      <c r="A36" t="s">
        <v>116</v>
      </c>
    </row>
    <row r="37" spans="1:2" x14ac:dyDescent="0.25">
      <c r="A37" t="s">
        <v>1</v>
      </c>
      <c r="B37" t="s">
        <v>44</v>
      </c>
    </row>
    <row r="38" spans="1:2" x14ac:dyDescent="0.25">
      <c r="A38" t="s">
        <v>200</v>
      </c>
      <c r="B38" t="s">
        <v>201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2"/>
  <sheetViews>
    <sheetView workbookViewId="0"/>
  </sheetViews>
  <sheetFormatPr defaultRowHeight="15" x14ac:dyDescent="0.25"/>
  <sheetData>
    <row r="1" spans="1:11" x14ac:dyDescent="0.25">
      <c r="A1" t="s">
        <v>0</v>
      </c>
    </row>
    <row r="2" spans="1:11" x14ac:dyDescent="0.25">
      <c r="K2">
        <v>1</v>
      </c>
    </row>
    <row r="3" spans="1:11" x14ac:dyDescent="0.25">
      <c r="A3" t="s">
        <v>1</v>
      </c>
      <c r="B3" t="s">
        <v>71</v>
      </c>
    </row>
    <row r="4" spans="1:11" x14ac:dyDescent="0.25">
      <c r="A4" t="s">
        <v>3</v>
      </c>
      <c r="B4" t="s">
        <v>202</v>
      </c>
    </row>
    <row r="5" spans="1:11" x14ac:dyDescent="0.25">
      <c r="A5" t="s">
        <v>4</v>
      </c>
      <c r="B5" t="s">
        <v>203</v>
      </c>
    </row>
    <row r="6" spans="1:11" x14ac:dyDescent="0.25">
      <c r="A6" t="s">
        <v>6</v>
      </c>
      <c r="B6" t="s">
        <v>178</v>
      </c>
    </row>
    <row r="7" spans="1:11" x14ac:dyDescent="0.25">
      <c r="A7" t="s">
        <v>8</v>
      </c>
      <c r="B7">
        <v>17</v>
      </c>
    </row>
    <row r="8" spans="1:11" x14ac:dyDescent="0.25">
      <c r="A8" t="s">
        <v>9</v>
      </c>
      <c r="B8">
        <v>45</v>
      </c>
    </row>
    <row r="9" spans="1:11" x14ac:dyDescent="0.25">
      <c r="A9" t="s">
        <v>10</v>
      </c>
      <c r="B9" t="s">
        <v>11</v>
      </c>
    </row>
    <row r="10" spans="1:11" x14ac:dyDescent="0.25">
      <c r="A10" t="s">
        <v>12</v>
      </c>
      <c r="B10">
        <v>2</v>
      </c>
    </row>
    <row r="11" spans="1:11" x14ac:dyDescent="0.25">
      <c r="A11" t="s">
        <v>13</v>
      </c>
      <c r="B11">
        <v>1</v>
      </c>
    </row>
    <row r="13" spans="1:11" x14ac:dyDescent="0.25">
      <c r="A13" t="s">
        <v>14</v>
      </c>
    </row>
    <row r="14" spans="1:11" x14ac:dyDescent="0.25">
      <c r="B14" t="s">
        <v>15</v>
      </c>
      <c r="C14" t="s">
        <v>16</v>
      </c>
      <c r="D14" t="s">
        <v>17</v>
      </c>
      <c r="E14" t="s">
        <v>18</v>
      </c>
      <c r="F14" t="s">
        <v>19</v>
      </c>
      <c r="G14" t="s">
        <v>20</v>
      </c>
    </row>
    <row r="15" spans="1:11" x14ac:dyDescent="0.25">
      <c r="A15" t="s">
        <v>21</v>
      </c>
      <c r="B15">
        <v>16</v>
      </c>
      <c r="C15">
        <v>12</v>
      </c>
      <c r="D15">
        <v>16</v>
      </c>
      <c r="E15">
        <v>12</v>
      </c>
      <c r="F15">
        <v>14</v>
      </c>
      <c r="G15">
        <v>14</v>
      </c>
    </row>
    <row r="16" spans="1:11" x14ac:dyDescent="0.25">
      <c r="A16" t="s">
        <v>22</v>
      </c>
      <c r="B16">
        <v>3</v>
      </c>
      <c r="C16">
        <v>1</v>
      </c>
      <c r="D16">
        <v>3</v>
      </c>
      <c r="E16">
        <v>1</v>
      </c>
      <c r="F16">
        <v>2</v>
      </c>
      <c r="G16">
        <v>2</v>
      </c>
    </row>
    <row r="17" spans="1:7" x14ac:dyDescent="0.25">
      <c r="A17" t="s">
        <v>23</v>
      </c>
      <c r="D17" t="s">
        <v>93</v>
      </c>
      <c r="F17" t="s">
        <v>93</v>
      </c>
    </row>
    <row r="18" spans="1:7" x14ac:dyDescent="0.25">
      <c r="A18" t="s">
        <v>24</v>
      </c>
      <c r="B18">
        <v>3</v>
      </c>
      <c r="C18">
        <v>1</v>
      </c>
      <c r="D18">
        <v>5</v>
      </c>
      <c r="E18">
        <v>1</v>
      </c>
      <c r="F18">
        <v>4</v>
      </c>
      <c r="G18">
        <v>2</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145</v>
      </c>
    </row>
    <row r="26" spans="1:7" x14ac:dyDescent="0.25">
      <c r="A26" t="s">
        <v>31</v>
      </c>
    </row>
    <row r="27" spans="1:7" x14ac:dyDescent="0.25">
      <c r="A27" t="s">
        <v>1</v>
      </c>
      <c r="B27" t="s">
        <v>32</v>
      </c>
      <c r="C27" t="s">
        <v>33</v>
      </c>
      <c r="D27" t="s">
        <v>34</v>
      </c>
      <c r="E27" t="s">
        <v>35</v>
      </c>
      <c r="F27" t="s">
        <v>36</v>
      </c>
      <c r="G27" t="s">
        <v>37</v>
      </c>
    </row>
    <row r="28" spans="1:7" x14ac:dyDescent="0.25">
      <c r="A28" t="s">
        <v>204</v>
      </c>
      <c r="B28" t="s">
        <v>39</v>
      </c>
      <c r="C28">
        <v>6</v>
      </c>
      <c r="D28" t="s">
        <v>40</v>
      </c>
      <c r="E28" t="s">
        <v>205</v>
      </c>
      <c r="F28" t="s">
        <v>42</v>
      </c>
    </row>
    <row r="30" spans="1:7" x14ac:dyDescent="0.25">
      <c r="A30" t="s">
        <v>43</v>
      </c>
    </row>
    <row r="31" spans="1:7" x14ac:dyDescent="0.25">
      <c r="A31" t="s">
        <v>1</v>
      </c>
      <c r="B31" t="s">
        <v>44</v>
      </c>
    </row>
    <row r="32" spans="1:7" x14ac:dyDescent="0.25">
      <c r="A32" t="s">
        <v>206</v>
      </c>
      <c r="B32" t="s">
        <v>207</v>
      </c>
    </row>
    <row r="33" spans="1:2" x14ac:dyDescent="0.25">
      <c r="A33" t="s">
        <v>208</v>
      </c>
      <c r="B33" t="s">
        <v>209</v>
      </c>
    </row>
    <row r="34" spans="1:2" x14ac:dyDescent="0.25">
      <c r="A34" t="s">
        <v>186</v>
      </c>
      <c r="B34" t="s">
        <v>210</v>
      </c>
    </row>
    <row r="36" spans="1:2" x14ac:dyDescent="0.25">
      <c r="A36" t="s">
        <v>123</v>
      </c>
    </row>
    <row r="37" spans="1:2" x14ac:dyDescent="0.25">
      <c r="A37" t="s">
        <v>1</v>
      </c>
      <c r="B37" t="s">
        <v>44</v>
      </c>
    </row>
    <row r="38" spans="1:2" x14ac:dyDescent="0.25">
      <c r="A38" t="s">
        <v>211</v>
      </c>
      <c r="B38" t="s">
        <v>212</v>
      </c>
    </row>
    <row r="40" spans="1:2" x14ac:dyDescent="0.25">
      <c r="A40" t="s">
        <v>130</v>
      </c>
    </row>
    <row r="41" spans="1:2" x14ac:dyDescent="0.25">
      <c r="A41" t="s">
        <v>1</v>
      </c>
      <c r="B41" t="s">
        <v>44</v>
      </c>
    </row>
    <row r="42" spans="1:2" x14ac:dyDescent="0.25">
      <c r="A42" t="s">
        <v>213</v>
      </c>
      <c r="B42" t="s">
        <v>214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0"/>
  <sheetViews>
    <sheetView workbookViewId="0"/>
  </sheetViews>
  <sheetFormatPr defaultRowHeight="15" x14ac:dyDescent="0.25"/>
  <sheetData>
    <row r="1" spans="1:11" x14ac:dyDescent="0.25">
      <c r="A1" t="s">
        <v>0</v>
      </c>
    </row>
    <row r="2" spans="1:11" x14ac:dyDescent="0.25">
      <c r="K2">
        <v>1</v>
      </c>
    </row>
    <row r="3" spans="1:11" x14ac:dyDescent="0.25">
      <c r="A3" t="s">
        <v>1</v>
      </c>
      <c r="B3" t="s">
        <v>73</v>
      </c>
    </row>
    <row r="4" spans="1:11" x14ac:dyDescent="0.25">
      <c r="A4" t="s">
        <v>3</v>
      </c>
      <c r="B4" t="s">
        <v>215</v>
      </c>
    </row>
    <row r="5" spans="1:11" x14ac:dyDescent="0.25">
      <c r="A5" t="s">
        <v>4</v>
      </c>
      <c r="B5" t="s">
        <v>216</v>
      </c>
    </row>
    <row r="6" spans="1:11" x14ac:dyDescent="0.25">
      <c r="A6" t="s">
        <v>6</v>
      </c>
      <c r="B6" t="s">
        <v>217</v>
      </c>
    </row>
    <row r="7" spans="1:11" x14ac:dyDescent="0.25">
      <c r="A7" t="s">
        <v>8</v>
      </c>
      <c r="B7">
        <v>13</v>
      </c>
    </row>
    <row r="8" spans="1:11" x14ac:dyDescent="0.25">
      <c r="A8" t="s">
        <v>9</v>
      </c>
      <c r="B8">
        <v>35</v>
      </c>
    </row>
    <row r="9" spans="1:11" x14ac:dyDescent="0.25">
      <c r="A9" t="s">
        <v>10</v>
      </c>
      <c r="B9" t="s">
        <v>11</v>
      </c>
    </row>
    <row r="10" spans="1:11" x14ac:dyDescent="0.25">
      <c r="A10" t="s">
        <v>12</v>
      </c>
      <c r="B10">
        <v>2</v>
      </c>
    </row>
    <row r="11" spans="1:11" x14ac:dyDescent="0.25">
      <c r="A11" t="s">
        <v>13</v>
      </c>
      <c r="B11">
        <v>2</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14</v>
      </c>
      <c r="D15">
        <v>14</v>
      </c>
      <c r="E15">
        <v>18</v>
      </c>
      <c r="F15">
        <v>14</v>
      </c>
      <c r="G15">
        <v>12</v>
      </c>
    </row>
    <row r="16" spans="1:11" x14ac:dyDescent="0.25">
      <c r="A16" t="s">
        <v>22</v>
      </c>
      <c r="B16">
        <v>0</v>
      </c>
      <c r="C16">
        <v>2</v>
      </c>
      <c r="D16">
        <v>2</v>
      </c>
      <c r="E16">
        <v>4</v>
      </c>
      <c r="F16">
        <v>2</v>
      </c>
      <c r="G16">
        <v>1</v>
      </c>
    </row>
    <row r="17" spans="1:7" x14ac:dyDescent="0.25">
      <c r="A17" t="s">
        <v>23</v>
      </c>
      <c r="D17" t="s">
        <v>93</v>
      </c>
      <c r="E17" t="s">
        <v>93</v>
      </c>
    </row>
    <row r="18" spans="1:7" x14ac:dyDescent="0.25">
      <c r="A18" t="s">
        <v>24</v>
      </c>
      <c r="B18">
        <v>0</v>
      </c>
      <c r="C18">
        <v>2</v>
      </c>
      <c r="D18">
        <v>4</v>
      </c>
      <c r="E18">
        <v>6</v>
      </c>
      <c r="F18">
        <v>2</v>
      </c>
      <c r="G18">
        <v>1</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145</v>
      </c>
    </row>
    <row r="26" spans="1:7" x14ac:dyDescent="0.25">
      <c r="A26" t="s">
        <v>31</v>
      </c>
    </row>
    <row r="27" spans="1:7" x14ac:dyDescent="0.25">
      <c r="A27" t="s">
        <v>1</v>
      </c>
      <c r="B27" t="s">
        <v>32</v>
      </c>
      <c r="C27" t="s">
        <v>33</v>
      </c>
      <c r="D27" t="s">
        <v>34</v>
      </c>
      <c r="E27" t="s">
        <v>35</v>
      </c>
      <c r="F27" t="s">
        <v>36</v>
      </c>
      <c r="G27" t="s">
        <v>37</v>
      </c>
    </row>
    <row r="28" spans="1:7" x14ac:dyDescent="0.25">
      <c r="A28" t="s">
        <v>218</v>
      </c>
      <c r="B28" t="s">
        <v>150</v>
      </c>
      <c r="C28">
        <v>7</v>
      </c>
      <c r="D28" t="s">
        <v>151</v>
      </c>
      <c r="E28" t="s">
        <v>219</v>
      </c>
      <c r="F28" t="s">
        <v>42</v>
      </c>
      <c r="G28" t="s">
        <v>220</v>
      </c>
    </row>
    <row r="29" spans="1:7" x14ac:dyDescent="0.25">
      <c r="A29" t="s">
        <v>221</v>
      </c>
      <c r="B29" t="s">
        <v>150</v>
      </c>
      <c r="C29">
        <v>7</v>
      </c>
      <c r="D29" t="s">
        <v>222</v>
      </c>
      <c r="E29" t="s">
        <v>223</v>
      </c>
      <c r="F29" t="s">
        <v>42</v>
      </c>
      <c r="G29" t="s">
        <v>224</v>
      </c>
    </row>
    <row r="30" spans="1:7" x14ac:dyDescent="0.25">
      <c r="A30" t="s">
        <v>225</v>
      </c>
      <c r="B30" t="s">
        <v>150</v>
      </c>
      <c r="C30" t="s">
        <v>42</v>
      </c>
      <c r="D30" t="s">
        <v>222</v>
      </c>
      <c r="E30" t="s">
        <v>226</v>
      </c>
      <c r="F30" t="s">
        <v>42</v>
      </c>
      <c r="G30" t="s">
        <v>227</v>
      </c>
    </row>
    <row r="31" spans="1:7" x14ac:dyDescent="0.25">
      <c r="A31" t="s">
        <v>228</v>
      </c>
      <c r="B31" t="s">
        <v>150</v>
      </c>
      <c r="C31">
        <v>7</v>
      </c>
      <c r="D31" t="s">
        <v>151</v>
      </c>
      <c r="E31" t="s">
        <v>229</v>
      </c>
      <c r="F31" t="s">
        <v>42</v>
      </c>
      <c r="G31" t="s">
        <v>230</v>
      </c>
    </row>
    <row r="32" spans="1:7" x14ac:dyDescent="0.25">
      <c r="A32" t="s">
        <v>231</v>
      </c>
      <c r="B32" t="s">
        <v>150</v>
      </c>
      <c r="C32" t="s">
        <v>42</v>
      </c>
      <c r="D32" t="s">
        <v>232</v>
      </c>
      <c r="E32" t="s">
        <v>233</v>
      </c>
      <c r="F32" t="s">
        <v>234</v>
      </c>
      <c r="G32" t="s">
        <v>235</v>
      </c>
    </row>
    <row r="33" spans="1:7" x14ac:dyDescent="0.25">
      <c r="A33" t="s">
        <v>236</v>
      </c>
      <c r="B33" t="s">
        <v>150</v>
      </c>
      <c r="C33" t="s">
        <v>42</v>
      </c>
      <c r="D33" t="s">
        <v>237</v>
      </c>
      <c r="E33" t="s">
        <v>238</v>
      </c>
      <c r="F33" t="s">
        <v>234</v>
      </c>
      <c r="G33" t="s">
        <v>239</v>
      </c>
    </row>
    <row r="34" spans="1:7" x14ac:dyDescent="0.25">
      <c r="A34" t="s">
        <v>240</v>
      </c>
      <c r="B34" t="s">
        <v>150</v>
      </c>
      <c r="C34">
        <v>7</v>
      </c>
      <c r="D34" t="s">
        <v>222</v>
      </c>
      <c r="E34" t="s">
        <v>241</v>
      </c>
      <c r="F34" t="s">
        <v>242</v>
      </c>
      <c r="G34" t="s">
        <v>243</v>
      </c>
    </row>
    <row r="36" spans="1:7" x14ac:dyDescent="0.25">
      <c r="A36" t="s">
        <v>43</v>
      </c>
    </row>
    <row r="37" spans="1:7" x14ac:dyDescent="0.25">
      <c r="A37" t="s">
        <v>1</v>
      </c>
      <c r="B37" t="s">
        <v>44</v>
      </c>
    </row>
    <row r="38" spans="1:7" x14ac:dyDescent="0.25">
      <c r="A38" t="s">
        <v>244</v>
      </c>
      <c r="B38" t="s">
        <v>245</v>
      </c>
    </row>
    <row r="39" spans="1:7" x14ac:dyDescent="0.25">
      <c r="A39" t="s">
        <v>246</v>
      </c>
      <c r="B39" t="s">
        <v>247</v>
      </c>
    </row>
    <row r="40" spans="1:7" x14ac:dyDescent="0.25">
      <c r="A40" t="s">
        <v>248</v>
      </c>
      <c r="B40" t="s">
        <v>249</v>
      </c>
    </row>
    <row r="41" spans="1:7" x14ac:dyDescent="0.25">
      <c r="A41" t="s">
        <v>186</v>
      </c>
      <c r="B41" t="s">
        <v>250</v>
      </c>
    </row>
    <row r="43" spans="1:7" x14ac:dyDescent="0.25">
      <c r="A43" t="s">
        <v>116</v>
      </c>
    </row>
    <row r="44" spans="1:7" x14ac:dyDescent="0.25">
      <c r="A44" t="s">
        <v>1</v>
      </c>
      <c r="B44" t="s">
        <v>44</v>
      </c>
    </row>
    <row r="45" spans="1:7" x14ac:dyDescent="0.25">
      <c r="A45" t="s">
        <v>251</v>
      </c>
      <c r="B45" t="s">
        <v>252</v>
      </c>
    </row>
    <row r="46" spans="1:7" x14ac:dyDescent="0.25">
      <c r="A46" t="s">
        <v>253</v>
      </c>
      <c r="B46" t="s">
        <v>254</v>
      </c>
    </row>
    <row r="48" spans="1:7" x14ac:dyDescent="0.25">
      <c r="A48" t="s">
        <v>130</v>
      </c>
    </row>
    <row r="49" spans="1:2" x14ac:dyDescent="0.25">
      <c r="A49" t="s">
        <v>1</v>
      </c>
      <c r="B49" t="s">
        <v>44</v>
      </c>
    </row>
    <row r="50" spans="1:2" x14ac:dyDescent="0.25">
      <c r="A50" t="s">
        <v>255</v>
      </c>
      <c r="B50" t="s">
        <v>256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5"/>
  <sheetViews>
    <sheetView workbookViewId="0"/>
  </sheetViews>
  <sheetFormatPr defaultRowHeight="15" x14ac:dyDescent="0.25"/>
  <sheetData>
    <row r="1" spans="1:11" x14ac:dyDescent="0.25">
      <c r="A1" t="s">
        <v>0</v>
      </c>
    </row>
    <row r="2" spans="1:11" x14ac:dyDescent="0.25">
      <c r="K2">
        <v>1</v>
      </c>
    </row>
    <row r="3" spans="1:11" x14ac:dyDescent="0.25">
      <c r="A3" t="s">
        <v>1</v>
      </c>
      <c r="B3" t="s">
        <v>75</v>
      </c>
    </row>
    <row r="4" spans="1:11" x14ac:dyDescent="0.25">
      <c r="A4" t="s">
        <v>3</v>
      </c>
      <c r="B4" t="s">
        <v>257</v>
      </c>
    </row>
    <row r="5" spans="1:11" x14ac:dyDescent="0.25">
      <c r="A5" t="s">
        <v>4</v>
      </c>
      <c r="B5" t="s">
        <v>258</v>
      </c>
    </row>
    <row r="6" spans="1:11" x14ac:dyDescent="0.25">
      <c r="A6" t="s">
        <v>6</v>
      </c>
      <c r="B6" t="s">
        <v>217</v>
      </c>
    </row>
    <row r="7" spans="1:11" x14ac:dyDescent="0.25">
      <c r="A7" t="s">
        <v>8</v>
      </c>
      <c r="B7">
        <v>14</v>
      </c>
    </row>
    <row r="8" spans="1:11" x14ac:dyDescent="0.25">
      <c r="A8" t="s">
        <v>9</v>
      </c>
      <c r="B8">
        <v>30</v>
      </c>
    </row>
    <row r="9" spans="1:11" x14ac:dyDescent="0.25">
      <c r="A9" t="s">
        <v>10</v>
      </c>
      <c r="B9" t="s">
        <v>11</v>
      </c>
    </row>
    <row r="10" spans="1:11" x14ac:dyDescent="0.25">
      <c r="A10" t="s">
        <v>12</v>
      </c>
      <c r="B10">
        <v>2</v>
      </c>
    </row>
    <row r="11" spans="1:11" x14ac:dyDescent="0.25">
      <c r="A11" t="s">
        <v>13</v>
      </c>
      <c r="B11">
        <v>2</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14</v>
      </c>
      <c r="D15">
        <v>14</v>
      </c>
      <c r="E15">
        <v>18</v>
      </c>
      <c r="F15">
        <v>14</v>
      </c>
      <c r="G15">
        <v>12</v>
      </c>
    </row>
    <row r="16" spans="1:11" x14ac:dyDescent="0.25">
      <c r="A16" t="s">
        <v>22</v>
      </c>
      <c r="B16">
        <v>0</v>
      </c>
      <c r="C16">
        <v>2</v>
      </c>
      <c r="D16">
        <v>2</v>
      </c>
      <c r="E16">
        <v>4</v>
      </c>
      <c r="F16">
        <v>2</v>
      </c>
      <c r="G16">
        <v>1</v>
      </c>
    </row>
    <row r="17" spans="1:7" x14ac:dyDescent="0.25">
      <c r="A17" t="s">
        <v>23</v>
      </c>
      <c r="E17" t="s">
        <v>93</v>
      </c>
      <c r="F17" t="s">
        <v>93</v>
      </c>
    </row>
    <row r="18" spans="1:7" x14ac:dyDescent="0.25">
      <c r="A18" t="s">
        <v>24</v>
      </c>
      <c r="B18">
        <v>0</v>
      </c>
      <c r="C18">
        <v>2</v>
      </c>
      <c r="D18">
        <v>2</v>
      </c>
      <c r="E18">
        <v>6</v>
      </c>
      <c r="F18">
        <v>4</v>
      </c>
      <c r="G18">
        <v>1</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145</v>
      </c>
    </row>
    <row r="26" spans="1:7" x14ac:dyDescent="0.25">
      <c r="A26" t="s">
        <v>31</v>
      </c>
    </row>
    <row r="27" spans="1:7" x14ac:dyDescent="0.25">
      <c r="A27" t="s">
        <v>1</v>
      </c>
      <c r="B27" t="s">
        <v>32</v>
      </c>
      <c r="C27" t="s">
        <v>33</v>
      </c>
      <c r="D27" t="s">
        <v>34</v>
      </c>
      <c r="E27" t="s">
        <v>35</v>
      </c>
      <c r="F27" t="s">
        <v>36</v>
      </c>
      <c r="G27" t="s">
        <v>37</v>
      </c>
    </row>
    <row r="28" spans="1:7" x14ac:dyDescent="0.25">
      <c r="A28" t="s">
        <v>259</v>
      </c>
      <c r="B28" t="s">
        <v>260</v>
      </c>
      <c r="C28">
        <v>5</v>
      </c>
      <c r="D28" t="s">
        <v>11</v>
      </c>
      <c r="E28" t="s">
        <v>261</v>
      </c>
      <c r="F28" t="s">
        <v>42</v>
      </c>
      <c r="G28" t="s">
        <v>262</v>
      </c>
    </row>
    <row r="29" spans="1:7" x14ac:dyDescent="0.25">
      <c r="A29" t="s">
        <v>218</v>
      </c>
      <c r="B29" t="s">
        <v>150</v>
      </c>
      <c r="C29">
        <v>6</v>
      </c>
      <c r="D29" t="s">
        <v>151</v>
      </c>
      <c r="E29" t="s">
        <v>263</v>
      </c>
      <c r="F29" t="s">
        <v>42</v>
      </c>
      <c r="G29" t="s">
        <v>220</v>
      </c>
    </row>
    <row r="30" spans="1:7" x14ac:dyDescent="0.25">
      <c r="A30" t="s">
        <v>225</v>
      </c>
      <c r="B30" t="s">
        <v>150</v>
      </c>
      <c r="C30" t="s">
        <v>42</v>
      </c>
      <c r="D30" t="s">
        <v>222</v>
      </c>
      <c r="E30" t="s">
        <v>226</v>
      </c>
      <c r="F30" t="s">
        <v>42</v>
      </c>
      <c r="G30" t="s">
        <v>264</v>
      </c>
    </row>
    <row r="31" spans="1:7" x14ac:dyDescent="0.25">
      <c r="A31" t="s">
        <v>265</v>
      </c>
      <c r="B31" t="s">
        <v>150</v>
      </c>
      <c r="C31" t="s">
        <v>42</v>
      </c>
      <c r="D31" t="s">
        <v>222</v>
      </c>
      <c r="E31" t="s">
        <v>42</v>
      </c>
      <c r="F31" t="s">
        <v>266</v>
      </c>
      <c r="G31" t="s">
        <v>267</v>
      </c>
    </row>
    <row r="32" spans="1:7" x14ac:dyDescent="0.25">
      <c r="A32" t="s">
        <v>268</v>
      </c>
      <c r="B32" t="s">
        <v>269</v>
      </c>
      <c r="C32" t="s">
        <v>42</v>
      </c>
      <c r="D32" t="s">
        <v>222</v>
      </c>
      <c r="E32" t="s">
        <v>42</v>
      </c>
      <c r="F32" t="s">
        <v>42</v>
      </c>
      <c r="G32" t="s">
        <v>270</v>
      </c>
    </row>
    <row r="33" spans="1:7" x14ac:dyDescent="0.25">
      <c r="A33" t="s">
        <v>271</v>
      </c>
      <c r="B33" t="s">
        <v>150</v>
      </c>
      <c r="C33" t="s">
        <v>42</v>
      </c>
      <c r="D33" t="s">
        <v>151</v>
      </c>
      <c r="E33" t="s">
        <v>42</v>
      </c>
      <c r="F33" t="s">
        <v>42</v>
      </c>
      <c r="G33" t="s">
        <v>272</v>
      </c>
    </row>
    <row r="34" spans="1:7" x14ac:dyDescent="0.25">
      <c r="A34" t="s">
        <v>236</v>
      </c>
      <c r="B34" t="s">
        <v>150</v>
      </c>
      <c r="C34" t="s">
        <v>42</v>
      </c>
      <c r="D34" t="s">
        <v>237</v>
      </c>
      <c r="E34" t="s">
        <v>238</v>
      </c>
      <c r="F34" t="s">
        <v>273</v>
      </c>
      <c r="G34" t="s">
        <v>274</v>
      </c>
    </row>
    <row r="36" spans="1:7" x14ac:dyDescent="0.25">
      <c r="A36" t="s">
        <v>43</v>
      </c>
    </row>
    <row r="37" spans="1:7" x14ac:dyDescent="0.25">
      <c r="A37" t="s">
        <v>1</v>
      </c>
      <c r="B37" t="s">
        <v>44</v>
      </c>
    </row>
    <row r="38" spans="1:7" x14ac:dyDescent="0.25">
      <c r="A38" t="s">
        <v>275</v>
      </c>
      <c r="B38" t="s">
        <v>276</v>
      </c>
    </row>
    <row r="39" spans="1:7" x14ac:dyDescent="0.25">
      <c r="A39" t="s">
        <v>277</v>
      </c>
      <c r="B39" t="s">
        <v>278</v>
      </c>
    </row>
    <row r="40" spans="1:7" x14ac:dyDescent="0.25">
      <c r="A40" t="s">
        <v>186</v>
      </c>
      <c r="B40" t="s">
        <v>279</v>
      </c>
    </row>
    <row r="42" spans="1:7" x14ac:dyDescent="0.25">
      <c r="A42" t="s">
        <v>130</v>
      </c>
    </row>
    <row r="43" spans="1:7" x14ac:dyDescent="0.25">
      <c r="A43" t="s">
        <v>1</v>
      </c>
      <c r="B43" t="s">
        <v>44</v>
      </c>
    </row>
    <row r="44" spans="1:7" x14ac:dyDescent="0.25">
      <c r="A44" t="s">
        <v>268</v>
      </c>
      <c r="B44" t="s">
        <v>280</v>
      </c>
    </row>
    <row r="45" spans="1:7" x14ac:dyDescent="0.25">
      <c r="A45" t="s">
        <v>255</v>
      </c>
      <c r="B45" t="s">
        <v>281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1"/>
  <sheetViews>
    <sheetView workbookViewId="0"/>
  </sheetViews>
  <sheetFormatPr defaultRowHeight="15" x14ac:dyDescent="0.25"/>
  <sheetData>
    <row r="1" spans="1:11" x14ac:dyDescent="0.25">
      <c r="A1" t="s">
        <v>0</v>
      </c>
    </row>
    <row r="2" spans="1:11" x14ac:dyDescent="0.25">
      <c r="K2">
        <v>1</v>
      </c>
    </row>
    <row r="3" spans="1:11" x14ac:dyDescent="0.25">
      <c r="A3" t="s">
        <v>1</v>
      </c>
      <c r="B3" t="s">
        <v>77</v>
      </c>
    </row>
    <row r="4" spans="1:11" x14ac:dyDescent="0.25">
      <c r="A4" t="s">
        <v>3</v>
      </c>
      <c r="B4" t="s">
        <v>282</v>
      </c>
    </row>
    <row r="5" spans="1:11" x14ac:dyDescent="0.25">
      <c r="A5" t="s">
        <v>4</v>
      </c>
      <c r="B5" t="s">
        <v>283</v>
      </c>
    </row>
    <row r="6" spans="1:11" x14ac:dyDescent="0.25">
      <c r="A6" t="s">
        <v>6</v>
      </c>
      <c r="B6" t="s">
        <v>284</v>
      </c>
    </row>
    <row r="7" spans="1:11" x14ac:dyDescent="0.25">
      <c r="A7" t="s">
        <v>8</v>
      </c>
      <c r="B7">
        <v>15</v>
      </c>
    </row>
    <row r="8" spans="1:11" x14ac:dyDescent="0.25">
      <c r="A8" t="s">
        <v>9</v>
      </c>
      <c r="B8">
        <v>38</v>
      </c>
    </row>
    <row r="9" spans="1:11" x14ac:dyDescent="0.25">
      <c r="A9" t="s">
        <v>10</v>
      </c>
      <c r="B9" t="s">
        <v>11</v>
      </c>
    </row>
    <row r="10" spans="1:11" x14ac:dyDescent="0.25">
      <c r="A10" t="s">
        <v>12</v>
      </c>
      <c r="B10">
        <v>2</v>
      </c>
    </row>
    <row r="11" spans="1:11" x14ac:dyDescent="0.25">
      <c r="A11" t="s">
        <v>13</v>
      </c>
      <c r="B11">
        <v>0</v>
      </c>
    </row>
    <row r="13" spans="1:11" x14ac:dyDescent="0.25">
      <c r="A13" t="s">
        <v>14</v>
      </c>
    </row>
    <row r="14" spans="1:11" x14ac:dyDescent="0.25">
      <c r="B14" t="s">
        <v>15</v>
      </c>
      <c r="C14" t="s">
        <v>16</v>
      </c>
      <c r="D14" t="s">
        <v>17</v>
      </c>
      <c r="E14" t="s">
        <v>18</v>
      </c>
      <c r="F14" t="s">
        <v>19</v>
      </c>
      <c r="G14" t="s">
        <v>20</v>
      </c>
    </row>
    <row r="15" spans="1:11" x14ac:dyDescent="0.25">
      <c r="A15" t="s">
        <v>21</v>
      </c>
      <c r="B15">
        <v>12</v>
      </c>
      <c r="C15">
        <v>10</v>
      </c>
      <c r="D15">
        <v>16</v>
      </c>
      <c r="E15">
        <v>10</v>
      </c>
      <c r="F15">
        <v>18</v>
      </c>
      <c r="G15">
        <v>14</v>
      </c>
    </row>
    <row r="16" spans="1:11" x14ac:dyDescent="0.25">
      <c r="A16" t="s">
        <v>22</v>
      </c>
      <c r="B16">
        <v>1</v>
      </c>
      <c r="C16">
        <v>0</v>
      </c>
      <c r="D16">
        <v>3</v>
      </c>
      <c r="E16">
        <v>0</v>
      </c>
      <c r="F16">
        <v>4</v>
      </c>
      <c r="G16">
        <v>2</v>
      </c>
    </row>
    <row r="17" spans="1:7" x14ac:dyDescent="0.25">
      <c r="A17" t="s">
        <v>23</v>
      </c>
      <c r="D17" t="s">
        <v>93</v>
      </c>
      <c r="F17" t="s">
        <v>93</v>
      </c>
    </row>
    <row r="18" spans="1:7" x14ac:dyDescent="0.25">
      <c r="A18" t="s">
        <v>24</v>
      </c>
      <c r="B18">
        <v>1</v>
      </c>
      <c r="C18">
        <v>0</v>
      </c>
      <c r="D18">
        <v>5</v>
      </c>
      <c r="E18">
        <v>0</v>
      </c>
      <c r="F18">
        <v>6</v>
      </c>
      <c r="G18">
        <v>2</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285</v>
      </c>
    </row>
    <row r="26" spans="1:7" x14ac:dyDescent="0.25">
      <c r="A26" t="s">
        <v>31</v>
      </c>
    </row>
    <row r="27" spans="1:7" x14ac:dyDescent="0.25">
      <c r="A27" t="s">
        <v>1</v>
      </c>
      <c r="B27" t="s">
        <v>32</v>
      </c>
      <c r="C27" t="s">
        <v>33</v>
      </c>
      <c r="D27" t="s">
        <v>34</v>
      </c>
      <c r="E27" t="s">
        <v>35</v>
      </c>
      <c r="F27" t="s">
        <v>36</v>
      </c>
      <c r="G27" t="s">
        <v>37</v>
      </c>
    </row>
    <row r="28" spans="1:7" x14ac:dyDescent="0.25">
      <c r="A28" t="s">
        <v>286</v>
      </c>
      <c r="B28" t="s">
        <v>39</v>
      </c>
      <c r="C28">
        <v>5</v>
      </c>
      <c r="D28" t="s">
        <v>40</v>
      </c>
      <c r="E28" t="s">
        <v>287</v>
      </c>
      <c r="F28" t="s">
        <v>42</v>
      </c>
      <c r="G28" t="s">
        <v>288</v>
      </c>
    </row>
    <row r="29" spans="1:7" x14ac:dyDescent="0.25">
      <c r="A29" t="s">
        <v>289</v>
      </c>
      <c r="B29" t="s">
        <v>150</v>
      </c>
      <c r="C29" t="s">
        <v>42</v>
      </c>
      <c r="D29" t="s">
        <v>222</v>
      </c>
      <c r="E29" t="s">
        <v>290</v>
      </c>
      <c r="F29" t="s">
        <v>273</v>
      </c>
      <c r="G29" t="s">
        <v>291</v>
      </c>
    </row>
    <row r="31" spans="1:7" x14ac:dyDescent="0.25">
      <c r="A31" t="s">
        <v>43</v>
      </c>
    </row>
    <row r="32" spans="1:7" x14ac:dyDescent="0.25">
      <c r="A32" t="s">
        <v>1</v>
      </c>
      <c r="B32" t="s">
        <v>44</v>
      </c>
    </row>
    <row r="33" spans="1:2" x14ac:dyDescent="0.25">
      <c r="A33" t="s">
        <v>292</v>
      </c>
      <c r="B33" t="s">
        <v>293</v>
      </c>
    </row>
    <row r="34" spans="1:2" x14ac:dyDescent="0.25">
      <c r="A34" t="s">
        <v>294</v>
      </c>
      <c r="B34" t="s">
        <v>295</v>
      </c>
    </row>
    <row r="35" spans="1:2" x14ac:dyDescent="0.25">
      <c r="A35" t="s">
        <v>296</v>
      </c>
      <c r="B35" t="s">
        <v>297</v>
      </c>
    </row>
    <row r="36" spans="1:2" x14ac:dyDescent="0.25">
      <c r="A36" t="s">
        <v>186</v>
      </c>
      <c r="B36" t="s">
        <v>298</v>
      </c>
    </row>
    <row r="38" spans="1:2" x14ac:dyDescent="0.25">
      <c r="A38" t="s">
        <v>116</v>
      </c>
    </row>
    <row r="39" spans="1:2" x14ac:dyDescent="0.25">
      <c r="A39" t="s">
        <v>1</v>
      </c>
      <c r="B39" t="s">
        <v>44</v>
      </c>
    </row>
    <row r="40" spans="1:2" x14ac:dyDescent="0.25">
      <c r="A40" t="s">
        <v>299</v>
      </c>
      <c r="B40" t="s">
        <v>300</v>
      </c>
    </row>
    <row r="41" spans="1:2" x14ac:dyDescent="0.25">
      <c r="A41" t="s">
        <v>301</v>
      </c>
      <c r="B41" t="s">
        <v>302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2"/>
  <sheetViews>
    <sheetView workbookViewId="0"/>
  </sheetViews>
  <sheetFormatPr defaultRowHeight="15" x14ac:dyDescent="0.25"/>
  <sheetData>
    <row r="1" spans="1:11" x14ac:dyDescent="0.25">
      <c r="A1" t="s">
        <v>0</v>
      </c>
    </row>
    <row r="2" spans="1:11" x14ac:dyDescent="0.25">
      <c r="K2">
        <v>1</v>
      </c>
    </row>
    <row r="3" spans="1:11" x14ac:dyDescent="0.25">
      <c r="A3" t="s">
        <v>1</v>
      </c>
      <c r="B3" t="s">
        <v>79</v>
      </c>
    </row>
    <row r="4" spans="1:11" x14ac:dyDescent="0.25">
      <c r="A4" t="s">
        <v>3</v>
      </c>
      <c r="B4" t="s">
        <v>303</v>
      </c>
    </row>
    <row r="5" spans="1:11" x14ac:dyDescent="0.25">
      <c r="A5" t="s">
        <v>4</v>
      </c>
      <c r="B5" t="s">
        <v>304</v>
      </c>
    </row>
    <row r="6" spans="1:11" x14ac:dyDescent="0.25">
      <c r="A6" t="s">
        <v>6</v>
      </c>
      <c r="B6" t="s">
        <v>305</v>
      </c>
    </row>
    <row r="7" spans="1:11" x14ac:dyDescent="0.25">
      <c r="A7" t="s">
        <v>8</v>
      </c>
      <c r="B7">
        <v>13</v>
      </c>
    </row>
    <row r="8" spans="1:11" x14ac:dyDescent="0.25">
      <c r="A8" t="s">
        <v>9</v>
      </c>
      <c r="B8">
        <v>32</v>
      </c>
    </row>
    <row r="9" spans="1:11" x14ac:dyDescent="0.25">
      <c r="A9" t="s">
        <v>10</v>
      </c>
      <c r="B9" t="s">
        <v>11</v>
      </c>
    </row>
    <row r="10" spans="1:11" x14ac:dyDescent="0.25">
      <c r="A10" t="s">
        <v>12</v>
      </c>
      <c r="B10">
        <v>2</v>
      </c>
    </row>
    <row r="11" spans="1:11" x14ac:dyDescent="0.25">
      <c r="A11" t="s">
        <v>13</v>
      </c>
      <c r="B11">
        <v>2</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14</v>
      </c>
      <c r="D15">
        <v>14</v>
      </c>
      <c r="E15">
        <v>18</v>
      </c>
      <c r="F15">
        <v>14</v>
      </c>
      <c r="G15">
        <v>12</v>
      </c>
    </row>
    <row r="16" spans="1:11" x14ac:dyDescent="0.25">
      <c r="A16" t="s">
        <v>22</v>
      </c>
      <c r="B16">
        <v>0</v>
      </c>
      <c r="C16">
        <v>2</v>
      </c>
      <c r="D16">
        <v>2</v>
      </c>
      <c r="E16">
        <v>4</v>
      </c>
      <c r="F16">
        <v>2</v>
      </c>
      <c r="G16">
        <v>1</v>
      </c>
    </row>
    <row r="17" spans="1:7" x14ac:dyDescent="0.25">
      <c r="A17" t="s">
        <v>23</v>
      </c>
      <c r="E17" t="s">
        <v>93</v>
      </c>
      <c r="F17" t="s">
        <v>93</v>
      </c>
    </row>
    <row r="18" spans="1:7" x14ac:dyDescent="0.25">
      <c r="A18" t="s">
        <v>24</v>
      </c>
      <c r="B18">
        <v>0</v>
      </c>
      <c r="C18">
        <v>2</v>
      </c>
      <c r="D18">
        <v>2</v>
      </c>
      <c r="E18">
        <v>6</v>
      </c>
      <c r="F18">
        <v>4</v>
      </c>
      <c r="G18">
        <v>1</v>
      </c>
    </row>
    <row r="20" spans="1:7" x14ac:dyDescent="0.25">
      <c r="A20" t="s">
        <v>25</v>
      </c>
    </row>
    <row r="21" spans="1:7" x14ac:dyDescent="0.25">
      <c r="A21" t="s">
        <v>26</v>
      </c>
    </row>
    <row r="22" spans="1:7" x14ac:dyDescent="0.25">
      <c r="A22" t="s">
        <v>27</v>
      </c>
    </row>
    <row r="23" spans="1:7" x14ac:dyDescent="0.25">
      <c r="A23" t="s">
        <v>28</v>
      </c>
    </row>
    <row r="24" spans="1:7" x14ac:dyDescent="0.25">
      <c r="A24" t="s">
        <v>29</v>
      </c>
      <c r="B24" t="s">
        <v>145</v>
      </c>
    </row>
    <row r="26" spans="1:7" x14ac:dyDescent="0.25">
      <c r="A26" t="s">
        <v>31</v>
      </c>
    </row>
    <row r="27" spans="1:7" x14ac:dyDescent="0.25">
      <c r="A27" t="s">
        <v>1</v>
      </c>
      <c r="B27" t="s">
        <v>32</v>
      </c>
      <c r="C27" t="s">
        <v>33</v>
      </c>
      <c r="D27" t="s">
        <v>34</v>
      </c>
      <c r="E27" t="s">
        <v>35</v>
      </c>
      <c r="F27" t="s">
        <v>36</v>
      </c>
      <c r="G27" t="s">
        <v>37</v>
      </c>
    </row>
    <row r="28" spans="1:7" x14ac:dyDescent="0.25">
      <c r="A28" t="s">
        <v>218</v>
      </c>
      <c r="B28" t="s">
        <v>150</v>
      </c>
      <c r="C28">
        <v>6</v>
      </c>
      <c r="D28" t="s">
        <v>151</v>
      </c>
      <c r="E28" t="s">
        <v>263</v>
      </c>
      <c r="F28" t="s">
        <v>42</v>
      </c>
      <c r="G28" t="s">
        <v>306</v>
      </c>
    </row>
    <row r="29" spans="1:7" x14ac:dyDescent="0.25">
      <c r="A29" t="s">
        <v>307</v>
      </c>
      <c r="B29" t="s">
        <v>150</v>
      </c>
      <c r="C29" t="s">
        <v>42</v>
      </c>
      <c r="D29" t="s">
        <v>151</v>
      </c>
      <c r="E29" t="s">
        <v>42</v>
      </c>
      <c r="F29" t="s">
        <v>308</v>
      </c>
      <c r="G29" t="s">
        <v>309</v>
      </c>
    </row>
    <row r="30" spans="1:7" x14ac:dyDescent="0.25">
      <c r="A30" t="s">
        <v>310</v>
      </c>
      <c r="B30" t="s">
        <v>150</v>
      </c>
      <c r="C30" t="s">
        <v>42</v>
      </c>
      <c r="D30" t="s">
        <v>222</v>
      </c>
      <c r="E30" t="s">
        <v>311</v>
      </c>
      <c r="F30" t="s">
        <v>312</v>
      </c>
      <c r="G30" t="s">
        <v>313</v>
      </c>
    </row>
    <row r="32" spans="1:7" x14ac:dyDescent="0.25">
      <c r="A32" t="s">
        <v>43</v>
      </c>
    </row>
    <row r="33" spans="1:2" x14ac:dyDescent="0.25">
      <c r="A33" t="s">
        <v>1</v>
      </c>
      <c r="B33" t="s">
        <v>44</v>
      </c>
    </row>
    <row r="34" spans="1:2" x14ac:dyDescent="0.25">
      <c r="A34" t="s">
        <v>314</v>
      </c>
      <c r="B34" t="s">
        <v>315</v>
      </c>
    </row>
    <row r="35" spans="1:2" x14ac:dyDescent="0.25">
      <c r="A35" t="s">
        <v>316</v>
      </c>
      <c r="B35" t="s">
        <v>317</v>
      </c>
    </row>
    <row r="36" spans="1:2" x14ac:dyDescent="0.25">
      <c r="A36" t="s">
        <v>318</v>
      </c>
      <c r="B36" t="s">
        <v>319</v>
      </c>
    </row>
    <row r="37" spans="1:2" x14ac:dyDescent="0.25">
      <c r="A37" t="s">
        <v>186</v>
      </c>
      <c r="B37" t="s">
        <v>320</v>
      </c>
    </row>
    <row r="39" spans="1:2" x14ac:dyDescent="0.25">
      <c r="A39" t="s">
        <v>116</v>
      </c>
    </row>
    <row r="40" spans="1:2" x14ac:dyDescent="0.25">
      <c r="A40" t="s">
        <v>1</v>
      </c>
      <c r="B40" t="s">
        <v>44</v>
      </c>
    </row>
    <row r="41" spans="1:2" x14ac:dyDescent="0.25">
      <c r="A41" t="s">
        <v>321</v>
      </c>
      <c r="B41" t="s">
        <v>322</v>
      </c>
    </row>
    <row r="42" spans="1:2" x14ac:dyDescent="0.25">
      <c r="A42" t="s">
        <v>323</v>
      </c>
      <c r="B42" t="s">
        <v>324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4"/>
  <sheetViews>
    <sheetView workbookViewId="0"/>
  </sheetViews>
  <sheetFormatPr defaultRowHeight="15" x14ac:dyDescent="0.25"/>
  <sheetData>
    <row r="1" spans="1:11" x14ac:dyDescent="0.25">
      <c r="A1" t="s">
        <v>0</v>
      </c>
    </row>
    <row r="2" spans="1:11" x14ac:dyDescent="0.25">
      <c r="K2">
        <v>0</v>
      </c>
    </row>
    <row r="3" spans="1:11" x14ac:dyDescent="0.25">
      <c r="A3" t="s">
        <v>1</v>
      </c>
      <c r="B3" t="s">
        <v>81</v>
      </c>
    </row>
    <row r="4" spans="1:11" x14ac:dyDescent="0.25">
      <c r="A4" t="s">
        <v>3</v>
      </c>
      <c r="B4" t="s">
        <v>325</v>
      </c>
    </row>
    <row r="5" spans="1:11" x14ac:dyDescent="0.25">
      <c r="A5" t="s">
        <v>4</v>
      </c>
      <c r="B5" t="s">
        <v>326</v>
      </c>
    </row>
    <row r="6" spans="1:11" x14ac:dyDescent="0.25">
      <c r="A6" t="s">
        <v>6</v>
      </c>
      <c r="B6" t="s">
        <v>327</v>
      </c>
    </row>
    <row r="7" spans="1:11" x14ac:dyDescent="0.25">
      <c r="A7" t="s">
        <v>8</v>
      </c>
      <c r="B7">
        <v>12</v>
      </c>
    </row>
    <row r="8" spans="1:11" x14ac:dyDescent="0.25">
      <c r="A8" t="s">
        <v>9</v>
      </c>
      <c r="B8">
        <v>18</v>
      </c>
    </row>
    <row r="9" spans="1:11" x14ac:dyDescent="0.25">
      <c r="A9" t="s">
        <v>10</v>
      </c>
      <c r="B9" t="s">
        <v>11</v>
      </c>
    </row>
    <row r="10" spans="1:11" x14ac:dyDescent="0.25">
      <c r="A10" t="s">
        <v>12</v>
      </c>
      <c r="B10">
        <v>2</v>
      </c>
    </row>
    <row r="11" spans="1:11" x14ac:dyDescent="0.25">
      <c r="A11" t="s">
        <v>13</v>
      </c>
      <c r="B11">
        <v>0</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10</v>
      </c>
      <c r="D15">
        <v>12</v>
      </c>
      <c r="E15">
        <v>12</v>
      </c>
      <c r="F15">
        <v>14</v>
      </c>
      <c r="G15">
        <v>14</v>
      </c>
    </row>
    <row r="16" spans="1:11" x14ac:dyDescent="0.25">
      <c r="A16" t="s">
        <v>22</v>
      </c>
      <c r="B16">
        <v>0</v>
      </c>
      <c r="C16">
        <v>0</v>
      </c>
      <c r="D16">
        <v>1</v>
      </c>
      <c r="E16">
        <v>1</v>
      </c>
      <c r="F16">
        <v>2</v>
      </c>
      <c r="G16">
        <v>2</v>
      </c>
    </row>
    <row r="17" spans="1:7" x14ac:dyDescent="0.25">
      <c r="A17" t="s">
        <v>23</v>
      </c>
      <c r="F17" t="s">
        <v>93</v>
      </c>
      <c r="G17" t="s">
        <v>93</v>
      </c>
    </row>
    <row r="18" spans="1:7" x14ac:dyDescent="0.25">
      <c r="A18" t="s">
        <v>24</v>
      </c>
      <c r="B18">
        <v>0</v>
      </c>
      <c r="C18">
        <v>0</v>
      </c>
      <c r="D18">
        <v>1</v>
      </c>
      <c r="E18">
        <v>1</v>
      </c>
      <c r="F18">
        <v>4</v>
      </c>
      <c r="G18">
        <v>4</v>
      </c>
    </row>
    <row r="20" spans="1:7" x14ac:dyDescent="0.25">
      <c r="A20" t="s">
        <v>25</v>
      </c>
    </row>
    <row r="21" spans="1:7" x14ac:dyDescent="0.25">
      <c r="A21" t="s">
        <v>26</v>
      </c>
      <c r="B21" t="s">
        <v>328</v>
      </c>
    </row>
    <row r="22" spans="1:7" x14ac:dyDescent="0.25">
      <c r="A22" t="s">
        <v>27</v>
      </c>
    </row>
    <row r="23" spans="1:7" x14ac:dyDescent="0.25">
      <c r="A23" t="s">
        <v>28</v>
      </c>
    </row>
    <row r="24" spans="1:7" x14ac:dyDescent="0.25">
      <c r="A24" t="s">
        <v>29</v>
      </c>
      <c r="B24" t="s">
        <v>329</v>
      </c>
    </row>
    <row r="26" spans="1:7" x14ac:dyDescent="0.25">
      <c r="A26" t="s">
        <v>31</v>
      </c>
    </row>
    <row r="27" spans="1:7" x14ac:dyDescent="0.25">
      <c r="A27" t="s">
        <v>1</v>
      </c>
      <c r="B27" t="s">
        <v>32</v>
      </c>
      <c r="C27" t="s">
        <v>33</v>
      </c>
      <c r="D27" t="s">
        <v>34</v>
      </c>
      <c r="E27" t="s">
        <v>35</v>
      </c>
      <c r="F27" t="s">
        <v>36</v>
      </c>
      <c r="G27" t="s">
        <v>37</v>
      </c>
    </row>
    <row r="29" spans="1:7" x14ac:dyDescent="0.25">
      <c r="A29" t="s">
        <v>43</v>
      </c>
    </row>
    <row r="30" spans="1:7" x14ac:dyDescent="0.25">
      <c r="A30" t="s">
        <v>1</v>
      </c>
      <c r="B30" t="s">
        <v>44</v>
      </c>
    </row>
    <row r="31" spans="1:7" x14ac:dyDescent="0.25">
      <c r="A31" t="s">
        <v>330</v>
      </c>
      <c r="B31" t="s">
        <v>331</v>
      </c>
    </row>
    <row r="32" spans="1:7" x14ac:dyDescent="0.25">
      <c r="A32" t="s">
        <v>332</v>
      </c>
      <c r="B32" t="s">
        <v>333</v>
      </c>
    </row>
    <row r="33" spans="1:2" x14ac:dyDescent="0.25">
      <c r="A33" t="s">
        <v>334</v>
      </c>
      <c r="B33" t="s">
        <v>335</v>
      </c>
    </row>
    <row r="34" spans="1:2" x14ac:dyDescent="0.25">
      <c r="A34" t="s">
        <v>336</v>
      </c>
      <c r="B34" t="s">
        <v>337</v>
      </c>
    </row>
    <row r="35" spans="1:2" x14ac:dyDescent="0.25">
      <c r="A35" t="s">
        <v>338</v>
      </c>
      <c r="B35" t="s">
        <v>339</v>
      </c>
    </row>
    <row r="37" spans="1:2" x14ac:dyDescent="0.25">
      <c r="A37" t="s">
        <v>116</v>
      </c>
    </row>
    <row r="38" spans="1:2" x14ac:dyDescent="0.25">
      <c r="A38" t="s">
        <v>1</v>
      </c>
      <c r="B38" t="s">
        <v>44</v>
      </c>
    </row>
    <row r="39" spans="1:2" x14ac:dyDescent="0.25">
      <c r="A39" t="s">
        <v>340</v>
      </c>
      <c r="B39" t="s">
        <v>341</v>
      </c>
    </row>
    <row r="40" spans="1:2" x14ac:dyDescent="0.25">
      <c r="A40" t="s">
        <v>342</v>
      </c>
      <c r="B40" t="s">
        <v>343</v>
      </c>
    </row>
    <row r="42" spans="1:2" x14ac:dyDescent="0.25">
      <c r="A42" t="s">
        <v>135</v>
      </c>
    </row>
    <row r="43" spans="1:2" x14ac:dyDescent="0.25">
      <c r="A43" t="s">
        <v>1</v>
      </c>
      <c r="B43" t="s">
        <v>44</v>
      </c>
    </row>
    <row r="44" spans="1:2" x14ac:dyDescent="0.25">
      <c r="A44" t="s">
        <v>344</v>
      </c>
      <c r="B44" t="s">
        <v>345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4"/>
  <sheetViews>
    <sheetView workbookViewId="0"/>
  </sheetViews>
  <sheetFormatPr defaultRowHeight="15" x14ac:dyDescent="0.25"/>
  <sheetData>
    <row r="1" spans="1:11" x14ac:dyDescent="0.25">
      <c r="A1" t="s">
        <v>0</v>
      </c>
    </row>
    <row r="2" spans="1:11" x14ac:dyDescent="0.25">
      <c r="K2">
        <v>0</v>
      </c>
    </row>
    <row r="3" spans="1:11" x14ac:dyDescent="0.25">
      <c r="A3" t="s">
        <v>1</v>
      </c>
      <c r="B3" t="s">
        <v>83</v>
      </c>
    </row>
    <row r="4" spans="1:11" x14ac:dyDescent="0.25">
      <c r="A4" t="s">
        <v>3</v>
      </c>
      <c r="B4" t="s">
        <v>325</v>
      </c>
    </row>
    <row r="5" spans="1:11" x14ac:dyDescent="0.25">
      <c r="A5" t="s">
        <v>4</v>
      </c>
      <c r="B5" t="s">
        <v>346</v>
      </c>
    </row>
    <row r="6" spans="1:11" x14ac:dyDescent="0.25">
      <c r="A6" t="s">
        <v>6</v>
      </c>
      <c r="B6" t="s">
        <v>327</v>
      </c>
    </row>
    <row r="7" spans="1:11" x14ac:dyDescent="0.25">
      <c r="A7" t="s">
        <v>8</v>
      </c>
      <c r="B7">
        <v>12</v>
      </c>
    </row>
    <row r="8" spans="1:11" x14ac:dyDescent="0.25">
      <c r="A8" t="s">
        <v>9</v>
      </c>
      <c r="B8">
        <v>18</v>
      </c>
    </row>
    <row r="9" spans="1:11" x14ac:dyDescent="0.25">
      <c r="A9" t="s">
        <v>10</v>
      </c>
      <c r="B9" t="s">
        <v>11</v>
      </c>
    </row>
    <row r="10" spans="1:11" x14ac:dyDescent="0.25">
      <c r="A10" t="s">
        <v>12</v>
      </c>
      <c r="B10">
        <v>2</v>
      </c>
    </row>
    <row r="11" spans="1:11" x14ac:dyDescent="0.25">
      <c r="A11" t="s">
        <v>13</v>
      </c>
      <c r="B11">
        <v>0</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10</v>
      </c>
      <c r="D15">
        <v>12</v>
      </c>
      <c r="E15">
        <v>12</v>
      </c>
      <c r="F15">
        <v>14</v>
      </c>
      <c r="G15">
        <v>14</v>
      </c>
    </row>
    <row r="16" spans="1:11" x14ac:dyDescent="0.25">
      <c r="A16" t="s">
        <v>22</v>
      </c>
      <c r="B16">
        <v>0</v>
      </c>
      <c r="C16">
        <v>0</v>
      </c>
      <c r="D16">
        <v>1</v>
      </c>
      <c r="E16">
        <v>1</v>
      </c>
      <c r="F16">
        <v>2</v>
      </c>
      <c r="G16">
        <v>2</v>
      </c>
    </row>
    <row r="17" spans="1:7" x14ac:dyDescent="0.25">
      <c r="A17" t="s">
        <v>23</v>
      </c>
      <c r="F17" t="s">
        <v>93</v>
      </c>
      <c r="G17" t="s">
        <v>93</v>
      </c>
    </row>
    <row r="18" spans="1:7" x14ac:dyDescent="0.25">
      <c r="A18" t="s">
        <v>24</v>
      </c>
      <c r="B18">
        <v>0</v>
      </c>
      <c r="C18">
        <v>0</v>
      </c>
      <c r="D18">
        <v>1</v>
      </c>
      <c r="E18">
        <v>1</v>
      </c>
      <c r="F18">
        <v>4</v>
      </c>
      <c r="G18">
        <v>4</v>
      </c>
    </row>
    <row r="20" spans="1:7" x14ac:dyDescent="0.25">
      <c r="A20" t="s">
        <v>25</v>
      </c>
    </row>
    <row r="21" spans="1:7" x14ac:dyDescent="0.25">
      <c r="A21" t="s">
        <v>26</v>
      </c>
      <c r="B21" t="s">
        <v>347</v>
      </c>
    </row>
    <row r="22" spans="1:7" x14ac:dyDescent="0.25">
      <c r="A22" t="s">
        <v>27</v>
      </c>
    </row>
    <row r="23" spans="1:7" x14ac:dyDescent="0.25">
      <c r="A23" t="s">
        <v>28</v>
      </c>
    </row>
    <row r="24" spans="1:7" x14ac:dyDescent="0.25">
      <c r="A24" t="s">
        <v>29</v>
      </c>
      <c r="B24" t="s">
        <v>329</v>
      </c>
    </row>
    <row r="26" spans="1:7" x14ac:dyDescent="0.25">
      <c r="A26" t="s">
        <v>31</v>
      </c>
    </row>
    <row r="27" spans="1:7" x14ac:dyDescent="0.25">
      <c r="A27" t="s">
        <v>1</v>
      </c>
      <c r="B27" t="s">
        <v>32</v>
      </c>
      <c r="C27" t="s">
        <v>33</v>
      </c>
      <c r="D27" t="s">
        <v>34</v>
      </c>
      <c r="E27" t="s">
        <v>35</v>
      </c>
      <c r="F27" t="s">
        <v>36</v>
      </c>
      <c r="G27" t="s">
        <v>37</v>
      </c>
    </row>
    <row r="29" spans="1:7" x14ac:dyDescent="0.25">
      <c r="A29" t="s">
        <v>43</v>
      </c>
    </row>
    <row r="30" spans="1:7" x14ac:dyDescent="0.25">
      <c r="A30" t="s">
        <v>1</v>
      </c>
      <c r="B30" t="s">
        <v>44</v>
      </c>
    </row>
    <row r="31" spans="1:7" x14ac:dyDescent="0.25">
      <c r="A31" t="s">
        <v>330</v>
      </c>
      <c r="B31" t="s">
        <v>331</v>
      </c>
    </row>
    <row r="32" spans="1:7" x14ac:dyDescent="0.25">
      <c r="A32" t="s">
        <v>332</v>
      </c>
      <c r="B32" t="s">
        <v>333</v>
      </c>
    </row>
    <row r="33" spans="1:2" x14ac:dyDescent="0.25">
      <c r="A33" t="s">
        <v>348</v>
      </c>
      <c r="B33" t="s">
        <v>335</v>
      </c>
    </row>
    <row r="34" spans="1:2" x14ac:dyDescent="0.25">
      <c r="A34" t="s">
        <v>336</v>
      </c>
      <c r="B34" t="s">
        <v>349</v>
      </c>
    </row>
    <row r="35" spans="1:2" x14ac:dyDescent="0.25">
      <c r="A35" t="s">
        <v>338</v>
      </c>
      <c r="B35" t="s">
        <v>350</v>
      </c>
    </row>
    <row r="37" spans="1:2" x14ac:dyDescent="0.25">
      <c r="A37" t="s">
        <v>116</v>
      </c>
    </row>
    <row r="38" spans="1:2" x14ac:dyDescent="0.25">
      <c r="A38" t="s">
        <v>1</v>
      </c>
      <c r="B38" t="s">
        <v>44</v>
      </c>
    </row>
    <row r="39" spans="1:2" x14ac:dyDescent="0.25">
      <c r="A39" t="s">
        <v>340</v>
      </c>
      <c r="B39" t="s">
        <v>351</v>
      </c>
    </row>
    <row r="40" spans="1:2" x14ac:dyDescent="0.25">
      <c r="A40" t="s">
        <v>342</v>
      </c>
      <c r="B40" t="s">
        <v>352</v>
      </c>
    </row>
    <row r="42" spans="1:2" x14ac:dyDescent="0.25">
      <c r="A42" t="s">
        <v>135</v>
      </c>
    </row>
    <row r="43" spans="1:2" x14ac:dyDescent="0.25">
      <c r="A43" t="s">
        <v>1</v>
      </c>
      <c r="B43" t="s">
        <v>44</v>
      </c>
    </row>
    <row r="44" spans="1:2" x14ac:dyDescent="0.25">
      <c r="A44" t="s">
        <v>344</v>
      </c>
      <c r="B44" t="s">
        <v>353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4"/>
  <sheetViews>
    <sheetView workbookViewId="0"/>
  </sheetViews>
  <sheetFormatPr defaultRowHeight="15" x14ac:dyDescent="0.25"/>
  <sheetData>
    <row r="1" spans="1:11" x14ac:dyDescent="0.25">
      <c r="A1" t="s">
        <v>0</v>
      </c>
    </row>
    <row r="2" spans="1:11" x14ac:dyDescent="0.25">
      <c r="K2">
        <v>0</v>
      </c>
    </row>
    <row r="3" spans="1:11" x14ac:dyDescent="0.25">
      <c r="A3" t="s">
        <v>1</v>
      </c>
      <c r="B3" t="s">
        <v>84</v>
      </c>
    </row>
    <row r="4" spans="1:11" x14ac:dyDescent="0.25">
      <c r="A4" t="s">
        <v>3</v>
      </c>
      <c r="B4" t="s">
        <v>325</v>
      </c>
    </row>
    <row r="5" spans="1:11" x14ac:dyDescent="0.25">
      <c r="A5" t="s">
        <v>4</v>
      </c>
      <c r="B5" t="s">
        <v>354</v>
      </c>
    </row>
    <row r="6" spans="1:11" x14ac:dyDescent="0.25">
      <c r="A6" t="s">
        <v>6</v>
      </c>
      <c r="B6" t="s">
        <v>327</v>
      </c>
    </row>
    <row r="7" spans="1:11" x14ac:dyDescent="0.25">
      <c r="A7" t="s">
        <v>8</v>
      </c>
      <c r="B7">
        <v>12</v>
      </c>
    </row>
    <row r="8" spans="1:11" x14ac:dyDescent="0.25">
      <c r="A8" t="s">
        <v>9</v>
      </c>
      <c r="B8">
        <v>18</v>
      </c>
    </row>
    <row r="9" spans="1:11" x14ac:dyDescent="0.25">
      <c r="A9" t="s">
        <v>10</v>
      </c>
      <c r="B9" t="s">
        <v>11</v>
      </c>
    </row>
    <row r="10" spans="1:11" x14ac:dyDescent="0.25">
      <c r="A10" t="s">
        <v>12</v>
      </c>
      <c r="B10">
        <v>2</v>
      </c>
    </row>
    <row r="11" spans="1:11" x14ac:dyDescent="0.25">
      <c r="A11" t="s">
        <v>13</v>
      </c>
      <c r="B11">
        <v>0</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10</v>
      </c>
      <c r="D15">
        <v>12</v>
      </c>
      <c r="E15">
        <v>12</v>
      </c>
      <c r="F15">
        <v>14</v>
      </c>
      <c r="G15">
        <v>14</v>
      </c>
    </row>
    <row r="16" spans="1:11" x14ac:dyDescent="0.25">
      <c r="A16" t="s">
        <v>22</v>
      </c>
      <c r="B16">
        <v>0</v>
      </c>
      <c r="C16">
        <v>0</v>
      </c>
      <c r="D16">
        <v>1</v>
      </c>
      <c r="E16">
        <v>1</v>
      </c>
      <c r="F16">
        <v>2</v>
      </c>
      <c r="G16">
        <v>2</v>
      </c>
    </row>
    <row r="17" spans="1:7" x14ac:dyDescent="0.25">
      <c r="A17" t="s">
        <v>23</v>
      </c>
      <c r="F17" t="s">
        <v>93</v>
      </c>
      <c r="G17" t="s">
        <v>93</v>
      </c>
    </row>
    <row r="18" spans="1:7" x14ac:dyDescent="0.25">
      <c r="A18" t="s">
        <v>24</v>
      </c>
      <c r="B18">
        <v>0</v>
      </c>
      <c r="C18">
        <v>0</v>
      </c>
      <c r="D18">
        <v>1</v>
      </c>
      <c r="E18">
        <v>1</v>
      </c>
      <c r="F18">
        <v>4</v>
      </c>
      <c r="G18">
        <v>4</v>
      </c>
    </row>
    <row r="20" spans="1:7" x14ac:dyDescent="0.25">
      <c r="A20" t="s">
        <v>25</v>
      </c>
    </row>
    <row r="21" spans="1:7" x14ac:dyDescent="0.25">
      <c r="A21" t="s">
        <v>26</v>
      </c>
      <c r="B21" t="s">
        <v>355</v>
      </c>
    </row>
    <row r="22" spans="1:7" x14ac:dyDescent="0.25">
      <c r="A22" t="s">
        <v>27</v>
      </c>
    </row>
    <row r="23" spans="1:7" x14ac:dyDescent="0.25">
      <c r="A23" t="s">
        <v>28</v>
      </c>
    </row>
    <row r="24" spans="1:7" x14ac:dyDescent="0.25">
      <c r="A24" t="s">
        <v>29</v>
      </c>
      <c r="B24" t="s">
        <v>329</v>
      </c>
    </row>
    <row r="26" spans="1:7" x14ac:dyDescent="0.25">
      <c r="A26" t="s">
        <v>31</v>
      </c>
    </row>
    <row r="27" spans="1:7" x14ac:dyDescent="0.25">
      <c r="A27" t="s">
        <v>1</v>
      </c>
      <c r="B27" t="s">
        <v>32</v>
      </c>
      <c r="C27" t="s">
        <v>33</v>
      </c>
      <c r="D27" t="s">
        <v>34</v>
      </c>
      <c r="E27" t="s">
        <v>35</v>
      </c>
      <c r="F27" t="s">
        <v>36</v>
      </c>
      <c r="G27" t="s">
        <v>37</v>
      </c>
    </row>
    <row r="29" spans="1:7" x14ac:dyDescent="0.25">
      <c r="A29" t="s">
        <v>43</v>
      </c>
    </row>
    <row r="30" spans="1:7" x14ac:dyDescent="0.25">
      <c r="A30" t="s">
        <v>1</v>
      </c>
      <c r="B30" t="s">
        <v>44</v>
      </c>
    </row>
    <row r="31" spans="1:7" x14ac:dyDescent="0.25">
      <c r="A31" t="s">
        <v>330</v>
      </c>
      <c r="B31" t="s">
        <v>331</v>
      </c>
    </row>
    <row r="32" spans="1:7" x14ac:dyDescent="0.25">
      <c r="A32" t="s">
        <v>332</v>
      </c>
      <c r="B32" t="s">
        <v>333</v>
      </c>
    </row>
    <row r="33" spans="1:2" x14ac:dyDescent="0.25">
      <c r="A33" t="s">
        <v>356</v>
      </c>
      <c r="B33" t="s">
        <v>335</v>
      </c>
    </row>
    <row r="34" spans="1:2" x14ac:dyDescent="0.25">
      <c r="A34" t="s">
        <v>336</v>
      </c>
      <c r="B34" t="s">
        <v>349</v>
      </c>
    </row>
    <row r="35" spans="1:2" x14ac:dyDescent="0.25">
      <c r="A35" t="s">
        <v>338</v>
      </c>
      <c r="B35" t="s">
        <v>357</v>
      </c>
    </row>
    <row r="37" spans="1:2" x14ac:dyDescent="0.25">
      <c r="A37" t="s">
        <v>116</v>
      </c>
    </row>
    <row r="38" spans="1:2" x14ac:dyDescent="0.25">
      <c r="A38" t="s">
        <v>1</v>
      </c>
      <c r="B38" t="s">
        <v>44</v>
      </c>
    </row>
    <row r="39" spans="1:2" x14ac:dyDescent="0.25">
      <c r="A39" t="s">
        <v>340</v>
      </c>
      <c r="B39" t="s">
        <v>358</v>
      </c>
    </row>
    <row r="40" spans="1:2" x14ac:dyDescent="0.25">
      <c r="A40" t="s">
        <v>342</v>
      </c>
      <c r="B40" t="s">
        <v>352</v>
      </c>
    </row>
    <row r="42" spans="1:2" x14ac:dyDescent="0.25">
      <c r="A42" t="s">
        <v>135</v>
      </c>
    </row>
    <row r="43" spans="1:2" x14ac:dyDescent="0.25">
      <c r="A43" t="s">
        <v>1</v>
      </c>
      <c r="B43" t="s">
        <v>44</v>
      </c>
    </row>
    <row r="44" spans="1:2" x14ac:dyDescent="0.25">
      <c r="A44" t="s">
        <v>344</v>
      </c>
      <c r="B44" t="s">
        <v>359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4"/>
  <sheetViews>
    <sheetView workbookViewId="0"/>
  </sheetViews>
  <sheetFormatPr defaultRowHeight="15" x14ac:dyDescent="0.25"/>
  <sheetData>
    <row r="1" spans="1:11" x14ac:dyDescent="0.25">
      <c r="A1" t="s">
        <v>0</v>
      </c>
    </row>
    <row r="2" spans="1:11" x14ac:dyDescent="0.25">
      <c r="K2">
        <v>0</v>
      </c>
    </row>
    <row r="3" spans="1:11" x14ac:dyDescent="0.25">
      <c r="A3" t="s">
        <v>1</v>
      </c>
      <c r="B3" t="s">
        <v>85</v>
      </c>
    </row>
    <row r="4" spans="1:11" x14ac:dyDescent="0.25">
      <c r="A4" t="s">
        <v>3</v>
      </c>
      <c r="B4" t="s">
        <v>325</v>
      </c>
    </row>
    <row r="5" spans="1:11" x14ac:dyDescent="0.25">
      <c r="A5" t="s">
        <v>4</v>
      </c>
      <c r="B5" t="s">
        <v>360</v>
      </c>
    </row>
    <row r="6" spans="1:11" x14ac:dyDescent="0.25">
      <c r="A6" t="s">
        <v>6</v>
      </c>
      <c r="B6" t="s">
        <v>327</v>
      </c>
    </row>
    <row r="7" spans="1:11" x14ac:dyDescent="0.25">
      <c r="A7" t="s">
        <v>8</v>
      </c>
      <c r="B7">
        <v>12</v>
      </c>
    </row>
    <row r="8" spans="1:11" x14ac:dyDescent="0.25">
      <c r="A8" t="s">
        <v>9</v>
      </c>
      <c r="B8">
        <v>18</v>
      </c>
    </row>
    <row r="9" spans="1:11" x14ac:dyDescent="0.25">
      <c r="A9" t="s">
        <v>10</v>
      </c>
      <c r="B9" t="s">
        <v>11</v>
      </c>
    </row>
    <row r="10" spans="1:11" x14ac:dyDescent="0.25">
      <c r="A10" t="s">
        <v>12</v>
      </c>
      <c r="B10">
        <v>2</v>
      </c>
    </row>
    <row r="11" spans="1:11" x14ac:dyDescent="0.25">
      <c r="A11" t="s">
        <v>13</v>
      </c>
      <c r="B11">
        <v>0</v>
      </c>
    </row>
    <row r="13" spans="1:11" x14ac:dyDescent="0.25">
      <c r="A13" t="s">
        <v>14</v>
      </c>
    </row>
    <row r="14" spans="1:11" x14ac:dyDescent="0.25">
      <c r="B14" t="s">
        <v>15</v>
      </c>
      <c r="C14" t="s">
        <v>16</v>
      </c>
      <c r="D14" t="s">
        <v>17</v>
      </c>
      <c r="E14" t="s">
        <v>18</v>
      </c>
      <c r="F14" t="s">
        <v>19</v>
      </c>
      <c r="G14" t="s">
        <v>20</v>
      </c>
    </row>
    <row r="15" spans="1:11" x14ac:dyDescent="0.25">
      <c r="A15" t="s">
        <v>21</v>
      </c>
      <c r="B15">
        <v>10</v>
      </c>
      <c r="C15">
        <v>10</v>
      </c>
      <c r="D15">
        <v>12</v>
      </c>
      <c r="E15">
        <v>12</v>
      </c>
      <c r="F15">
        <v>14</v>
      </c>
      <c r="G15">
        <v>14</v>
      </c>
    </row>
    <row r="16" spans="1:11" x14ac:dyDescent="0.25">
      <c r="A16" t="s">
        <v>22</v>
      </c>
      <c r="B16">
        <v>0</v>
      </c>
      <c r="C16">
        <v>0</v>
      </c>
      <c r="D16">
        <v>1</v>
      </c>
      <c r="E16">
        <v>1</v>
      </c>
      <c r="F16">
        <v>2</v>
      </c>
      <c r="G16">
        <v>2</v>
      </c>
    </row>
    <row r="17" spans="1:7" x14ac:dyDescent="0.25">
      <c r="A17" t="s">
        <v>23</v>
      </c>
      <c r="F17" t="s">
        <v>93</v>
      </c>
      <c r="G17" t="s">
        <v>93</v>
      </c>
    </row>
    <row r="18" spans="1:7" x14ac:dyDescent="0.25">
      <c r="A18" t="s">
        <v>24</v>
      </c>
      <c r="B18">
        <v>0</v>
      </c>
      <c r="C18">
        <v>0</v>
      </c>
      <c r="D18">
        <v>1</v>
      </c>
      <c r="E18">
        <v>1</v>
      </c>
      <c r="F18">
        <v>4</v>
      </c>
      <c r="G18">
        <v>4</v>
      </c>
    </row>
    <row r="20" spans="1:7" x14ac:dyDescent="0.25">
      <c r="A20" t="s">
        <v>25</v>
      </c>
    </row>
    <row r="21" spans="1:7" x14ac:dyDescent="0.25">
      <c r="A21" t="s">
        <v>26</v>
      </c>
      <c r="B21" t="s">
        <v>361</v>
      </c>
    </row>
    <row r="22" spans="1:7" x14ac:dyDescent="0.25">
      <c r="A22" t="s">
        <v>27</v>
      </c>
    </row>
    <row r="23" spans="1:7" x14ac:dyDescent="0.25">
      <c r="A23" t="s">
        <v>28</v>
      </c>
    </row>
    <row r="24" spans="1:7" x14ac:dyDescent="0.25">
      <c r="A24" t="s">
        <v>29</v>
      </c>
      <c r="B24" t="s">
        <v>329</v>
      </c>
    </row>
    <row r="26" spans="1:7" x14ac:dyDescent="0.25">
      <c r="A26" t="s">
        <v>31</v>
      </c>
    </row>
    <row r="27" spans="1:7" x14ac:dyDescent="0.25">
      <c r="A27" t="s">
        <v>1</v>
      </c>
      <c r="B27" t="s">
        <v>32</v>
      </c>
      <c r="C27" t="s">
        <v>33</v>
      </c>
      <c r="D27" t="s">
        <v>34</v>
      </c>
      <c r="E27" t="s">
        <v>35</v>
      </c>
      <c r="F27" t="s">
        <v>36</v>
      </c>
      <c r="G27" t="s">
        <v>37</v>
      </c>
    </row>
    <row r="29" spans="1:7" x14ac:dyDescent="0.25">
      <c r="A29" t="s">
        <v>43</v>
      </c>
    </row>
    <row r="30" spans="1:7" x14ac:dyDescent="0.25">
      <c r="A30" t="s">
        <v>1</v>
      </c>
      <c r="B30" t="s">
        <v>44</v>
      </c>
    </row>
    <row r="31" spans="1:7" x14ac:dyDescent="0.25">
      <c r="A31" t="s">
        <v>330</v>
      </c>
      <c r="B31" t="s">
        <v>331</v>
      </c>
    </row>
    <row r="32" spans="1:7" x14ac:dyDescent="0.25">
      <c r="A32" t="s">
        <v>332</v>
      </c>
      <c r="B32" t="s">
        <v>333</v>
      </c>
    </row>
    <row r="33" spans="1:2" x14ac:dyDescent="0.25">
      <c r="A33" t="s">
        <v>362</v>
      </c>
      <c r="B33" t="s">
        <v>335</v>
      </c>
    </row>
    <row r="34" spans="1:2" x14ac:dyDescent="0.25">
      <c r="A34" t="s">
        <v>336</v>
      </c>
      <c r="B34" t="s">
        <v>349</v>
      </c>
    </row>
    <row r="35" spans="1:2" x14ac:dyDescent="0.25">
      <c r="A35" t="s">
        <v>338</v>
      </c>
      <c r="B35" t="s">
        <v>357</v>
      </c>
    </row>
    <row r="37" spans="1:2" x14ac:dyDescent="0.25">
      <c r="A37" t="s">
        <v>116</v>
      </c>
    </row>
    <row r="38" spans="1:2" x14ac:dyDescent="0.25">
      <c r="A38" t="s">
        <v>1</v>
      </c>
      <c r="B38" t="s">
        <v>44</v>
      </c>
    </row>
    <row r="39" spans="1:2" x14ac:dyDescent="0.25">
      <c r="A39" t="s">
        <v>340</v>
      </c>
      <c r="B39" t="s">
        <v>363</v>
      </c>
    </row>
    <row r="40" spans="1:2" x14ac:dyDescent="0.25">
      <c r="A40" t="s">
        <v>342</v>
      </c>
      <c r="B40" t="s">
        <v>352</v>
      </c>
    </row>
    <row r="42" spans="1:2" x14ac:dyDescent="0.25">
      <c r="A42" t="s">
        <v>135</v>
      </c>
    </row>
    <row r="43" spans="1:2" x14ac:dyDescent="0.25">
      <c r="A43" t="s">
        <v>1</v>
      </c>
      <c r="B43" t="s">
        <v>44</v>
      </c>
    </row>
    <row r="44" spans="1:2" x14ac:dyDescent="0.25">
      <c r="A44" t="s">
        <v>344</v>
      </c>
      <c r="B44" t="s">
        <v>364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Battle List</vt:lpstr>
      <vt:lpstr>Korrum</vt:lpstr>
      <vt:lpstr>Veyrath</vt:lpstr>
      <vt:lpstr>Hobgoblin</vt:lpstr>
      <vt:lpstr>Ganador Legionnaire</vt:lpstr>
      <vt:lpstr>Ganador Marksman</vt:lpstr>
      <vt:lpstr>Ganador Veteran</vt:lpstr>
      <vt:lpstr>War Mage</vt:lpstr>
      <vt:lpstr>Arcane Specialist</vt:lpstr>
      <vt:lpstr>War Priest</vt:lpstr>
      <vt:lpstr>Illusionist</vt:lpstr>
      <vt:lpstr>Fire Anchor Caster</vt:lpstr>
      <vt:lpstr>Earth Anchor Caster</vt:lpstr>
      <vt:lpstr>Water Anchor Caster</vt:lpstr>
      <vt:lpstr>Air Anchor Caster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Wallin</dc:creator>
  <cp:lastModifiedBy>John Wallin</cp:lastModifiedBy>
  <dcterms:created xsi:type="dcterms:W3CDTF">2026-06-23T15:08:51Z</dcterms:created>
  <dcterms:modified xsi:type="dcterms:W3CDTF">2026-06-27T22:31:35Z</dcterms:modified>
</cp:coreProperties>
</file>